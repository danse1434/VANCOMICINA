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F:\Documentos\(Proyecto)_Estudio_PKPD\VANCOMICINA\07_FINAL\10_Final\"/>
    </mc:Choice>
  </mc:AlternateContent>
  <bookViews>
    <workbookView xWindow="0" yWindow="0" windowWidth="20490" windowHeight="7605" activeTab="1"/>
  </bookViews>
  <sheets>
    <sheet name="Tabla" sheetId="5" r:id="rId1"/>
    <sheet name="mFinal" sheetId="3" r:id="rId2"/>
    <sheet name="Bayesiano" sheetId="6" r:id="rId3"/>
  </sheets>
  <functionGroups builtInGroupCount="18"/>
  <definedNames>
    <definedName name="_xlnm.Print_Area" localSheetId="1">mFinal!$A$1:$G$28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5" l="1"/>
  <c r="N13" i="6"/>
  <c r="N14" i="6"/>
  <c r="N15" i="6"/>
  <c r="N12" i="6"/>
  <c r="I27" i="6"/>
  <c r="I20" i="6"/>
  <c r="I21" i="6"/>
  <c r="I22" i="6"/>
  <c r="I23" i="6"/>
  <c r="I24" i="6"/>
  <c r="I25" i="6"/>
  <c r="I26" i="6"/>
  <c r="I19" i="6"/>
  <c r="L19" i="5"/>
  <c r="L20" i="5"/>
  <c r="L21" i="5"/>
  <c r="L22" i="5"/>
  <c r="L23" i="5"/>
  <c r="L24" i="5"/>
  <c r="L26" i="5"/>
  <c r="L18" i="5"/>
  <c r="L17" i="5"/>
  <c r="L16" i="5"/>
  <c r="L12" i="5"/>
  <c r="L13" i="5"/>
  <c r="L14" i="5"/>
  <c r="L15" i="5"/>
  <c r="L11" i="5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5" i="6"/>
  <c r="K12" i="6"/>
  <c r="K14" i="6"/>
  <c r="L12" i="6"/>
  <c r="L14" i="6"/>
  <c r="K13" i="6"/>
  <c r="K15" i="6"/>
  <c r="L13" i="6"/>
  <c r="L15" i="6"/>
  <c r="J12" i="6"/>
  <c r="J13" i="6"/>
  <c r="J14" i="6"/>
  <c r="J15" i="6"/>
  <c r="P13" i="5"/>
  <c r="P14" i="5"/>
  <c r="P12" i="5"/>
  <c r="P11" i="5"/>
  <c r="O11" i="5"/>
  <c r="O13" i="5"/>
  <c r="O14" i="5"/>
  <c r="O12" i="5"/>
  <c r="N12" i="5"/>
  <c r="N13" i="5"/>
  <c r="N14" i="5"/>
  <c r="N11" i="5"/>
  <c r="R11" i="5" l="1"/>
  <c r="R14" i="5"/>
  <c r="R13" i="5"/>
  <c r="R12" i="5"/>
</calcChain>
</file>

<file path=xl/sharedStrings.xml><?xml version="1.0" encoding="utf-8"?>
<sst xmlns="http://schemas.openxmlformats.org/spreadsheetml/2006/main" count="294" uniqueCount="240">
  <si>
    <t>Parámetro</t>
  </si>
  <si>
    <t>Estimación</t>
  </si>
  <si>
    <t>Aproxim. Estocástica</t>
  </si>
  <si>
    <t>Mediana</t>
  </si>
  <si>
    <t>SE</t>
  </si>
  <si>
    <t>Modelo Estructural</t>
  </si>
  <si>
    <t xml:space="preserve">		$k_{10}~\left(\mathrm{h}^{-1}\right)$                      </t>
  </si>
  <si>
    <t xml:space="preserve">		$k_{12}~\left(\mathrm{h}^{-1}\right)$                      </t>
  </si>
  <si>
    <t xml:space="preserve">		$k_{21}~\left(\mathrm{h}^{-1}\right)$                      </t>
  </si>
  <si>
    <t xml:space="preserve">		$\alpha~\left(\mathrm{h}^{-1}\right)$                      </t>
  </si>
  <si>
    <t xml:space="preserve">		$\beta~\left(\mathrm{h}^{-1}\right)$                       </t>
  </si>
  <si>
    <t xml:space="preserve">		$t_{\alpha}~\left(\mathrm{h}\right)$                       </t>
  </si>
  <si>
    <t xml:space="preserve">		$t_{\beta}~\left(\mathrm{h}\right)$                        </t>
  </si>
  <si>
    <t>-</t>
  </si>
  <si>
    <t xml:space="preserve">		$\mathrm{V_1}~\left(\mathrm{L}\right)$                     </t>
  </si>
  <si>
    <t xml:space="preserve">		$\mathrm{Q}~\left(\mathrm{L/h}\right)$                     </t>
  </si>
  <si>
    <t xml:space="preserve">		$\mathrm{V_2}~\left(\mathrm{L}\right)$                     </t>
  </si>
  <si>
    <t xml:space="preserve">		$\omega^2_{\mathrm{Cl}}~(\%)$                              </t>
  </si>
  <si>
    <t xml:space="preserve">		$\omega^2_{\mathrm{V_1}}~(\%)$                             </t>
  </si>
  <si>
    <t xml:space="preserve">		$\omega^2_{\mathrm{Q}}~(\%)$                               </t>
  </si>
  <si>
    <t xml:space="preserve">		$\omega^2_{\mathrm{V_2}}~(\%)$                             </t>
  </si>
  <si>
    <t xml:space="preserve">		$\mathrm{A}~\left(\mathrm{mg/L}\right)$                    </t>
  </si>
  <si>
    <t xml:space="preserve">		$\mathrm{B}~\left(\mathrm{mg/L}\right)$                    </t>
  </si>
  <si>
    <t>RSE(\%)</t>
  </si>
  <si>
    <t>Efectos Aleatorios</t>
  </si>
  <si>
    <t>Variabilidad Residual</t>
  </si>
  <si>
    <t>Parámetros Secundarios</t>
  </si>
  <si>
    <t>$a_1$</t>
  </si>
  <si>
    <t>$a_2$</t>
  </si>
  <si>
    <t>Resultados bootstrap no parámétrico</t>
  </si>
  <si>
    <t>Estimado</t>
  </si>
  <si>
    <r>
      <t>SE</t>
    </r>
    <r>
      <rPr>
        <i/>
        <vertAlign val="superscript"/>
        <sz val="7"/>
        <color rgb="FF333333"/>
        <rFont val="Segoe UI"/>
        <family val="2"/>
      </rPr>
      <t>2</t>
    </r>
  </si>
  <si>
    <r>
      <t>RSD (%)</t>
    </r>
    <r>
      <rPr>
        <i/>
        <vertAlign val="superscript"/>
        <sz val="7"/>
        <color rgb="FF333333"/>
        <rFont val="Segoe UI"/>
        <family val="2"/>
      </rPr>
      <t>2</t>
    </r>
  </si>
  <si>
    <t>Clásico</t>
  </si>
  <si>
    <t>Percentil</t>
  </si>
  <si>
    <t>Normal</t>
  </si>
  <si>
    <t>Pivote</t>
  </si>
  <si>
    <t>BCa</t>
  </si>
  <si>
    <t>V1</t>
  </si>
  <si>
    <t>V2</t>
  </si>
  <si>
    <t>Cl</t>
  </si>
  <si>
    <t>Q</t>
  </si>
  <si>
    <t>omega_V1</t>
  </si>
  <si>
    <t>0.27, 0.27</t>
  </si>
  <si>
    <t>omega_V2</t>
  </si>
  <si>
    <t>omega_Cl</t>
  </si>
  <si>
    <t>omega_Q</t>
  </si>
  <si>
    <t>corr_V2_V1</t>
  </si>
  <si>
    <t>1.00, 1.00</t>
  </si>
  <si>
    <t>a1</t>
  </si>
  <si>
    <t>0.30, 0.30</t>
  </si>
  <si>
    <t>a2</t>
  </si>
  <si>
    <t>0.06, 0.06</t>
  </si>
  <si>
    <t>k10</t>
  </si>
  <si>
    <t>k12</t>
  </si>
  <si>
    <t>k21</t>
  </si>
  <si>
    <t>alpha</t>
  </si>
  <si>
    <t>beta</t>
  </si>
  <si>
    <t>t_alpha</t>
  </si>
  <si>
    <t>t_beta</t>
  </si>
  <si>
    <t>A</t>
  </si>
  <si>
    <t>NA</t>
  </si>
  <si>
    <t>B</t>
  </si>
  <si>
    <r>
      <t>1 </t>
    </r>
    <r>
      <rPr>
        <sz val="9"/>
        <color rgb="FF333333"/>
        <rFont val="Segoe UI"/>
        <family val="2"/>
      </rPr>
      <t>Obtenido mediante bootstrap no paramétrico</t>
    </r>
  </si>
  <si>
    <r>
      <t>2 </t>
    </r>
    <r>
      <rPr>
        <sz val="9"/>
        <color rgb="FF333333"/>
        <rFont val="Segoe UI"/>
        <family val="2"/>
      </rPr>
      <t>Obtenido mediante matriz de info. de Fisher (FIM)</t>
    </r>
  </si>
  <si>
    <r>
      <t>Resultados Bootstrap (n = 1000)</t>
    </r>
    <r>
      <rPr>
        <i/>
        <vertAlign val="superscript"/>
        <sz val="7"/>
        <color rgb="FF333333"/>
        <rFont val="Segoe UI"/>
        <family val="2"/>
      </rPr>
      <t>1</t>
    </r>
  </si>
  <si>
    <t>5.68, 5.92</t>
  </si>
  <si>
    <t>2.92, 10.11</t>
  </si>
  <si>
    <t>5.47, 5.71</t>
  </si>
  <si>
    <t>1.29, 8.48</t>
  </si>
  <si>
    <t>5.58, 5.58</t>
  </si>
  <si>
    <t>beta_Cl_logtWTKG</t>
  </si>
  <si>
    <t>0.84, 0.90</t>
  </si>
  <si>
    <t>0.01, 2.07</t>
  </si>
  <si>
    <t>0.60, 0.66</t>
  </si>
  <si>
    <t>−0.57, 1.50</t>
  </si>
  <si>
    <t>0.75, 0.75</t>
  </si>
  <si>
    <t>beta_Cl_tCLCRMLMIN</t>
  </si>
  <si>
    <t>0.64, 0.68</t>
  </si>
  <si>
    <t>0.11, 1.30</t>
  </si>
  <si>
    <t>0.53, 0.57</t>
  </si>
  <si>
    <t>−0.09, 1.11</t>
  </si>
  <si>
    <t>0.61, 0.61</t>
  </si>
  <si>
    <t>40.38, 41.05</t>
  </si>
  <si>
    <t>32.36, 49.54</t>
  </si>
  <si>
    <t>39.92, 40.59</t>
  </si>
  <si>
    <t>31.43, 48.61</t>
  </si>
  <si>
    <t>43.97, 42.27</t>
  </si>
  <si>
    <t>48.21, 49.23</t>
  </si>
  <si>
    <t>37.22, 61.07</t>
  </si>
  <si>
    <t>40.98, 42.00</t>
  </si>
  <si>
    <t>29.15, 52.99</t>
  </si>
  <si>
    <t>0.48, 50.61</t>
  </si>
  <si>
    <t>12.34, 12.72</t>
  </si>
  <si>
    <t>7.83, 19.28</t>
  </si>
  <si>
    <t>12.79, 13.17</t>
  </si>
  <si>
    <t>6.23, 17.68</t>
  </si>
  <si>
    <t>12.25, 12.13</t>
  </si>
  <si>
    <t>0.25, 0.27</t>
  </si>
  <si>
    <t>0.05, 0.41</t>
  </si>
  <si>
    <t>0.27, 0.30</t>
  </si>
  <si>
    <t>0.14, 0.50</t>
  </si>
  <si>
    <t>0.28, 0.33</t>
  </si>
  <si>
    <t>0.06, 0.48</t>
  </si>
  <si>
    <t>0.23, 0.29</t>
  </si>
  <si>
    <t>0.08, 0.50</t>
  </si>
  <si>
    <t>0.28, 0.28</t>
  </si>
  <si>
    <t>0.15, 0.16</t>
  </si>
  <si>
    <t>0.06, 0.23</t>
  </si>
  <si>
    <t>0.21, 0.22</t>
  </si>
  <si>
    <t>0.13, 0.30</t>
  </si>
  <si>
    <t>0.18, 0.18</t>
  </si>
  <si>
    <t>0.59, 0.62</t>
  </si>
  <si>
    <t>0.14, 0.89</t>
  </si>
  <si>
    <t>0.67, 0.69</t>
  </si>
  <si>
    <t>0.39, 1.14</t>
  </si>
  <si>
    <t>0.64, 0.64</t>
  </si>
  <si>
    <t>0.97, 0.99</t>
  </si>
  <si>
    <t>0.81, 1.00</t>
  </si>
  <si>
    <t>1.01, 1.02</t>
  </si>
  <si>
    <t>1.00, 1.18</t>
  </si>
  <si>
    <t>0.29, 0.30</t>
  </si>
  <si>
    <t>0.18, 0.41</t>
  </si>
  <si>
    <t>0.31, 0.31</t>
  </si>
  <si>
    <t>0.19, 0.42</t>
  </si>
  <si>
    <t>0.07, 0.07</t>
  </si>
  <si>
    <t>0.05, 0.09</t>
  </si>
  <si>
    <t>0.04, 0.08</t>
  </si>
  <si>
    <t>0.14, 0.16</t>
  </si>
  <si>
    <t>0.07, 0.25</t>
  </si>
  <si>
    <t>0.12, 0.14</t>
  </si>
  <si>
    <t>0.03, 0.21</t>
  </si>
  <si>
    <t>0.14, 0.14</t>
  </si>
  <si>
    <t>0.30, 0.41</t>
  </si>
  <si>
    <t>0.17, 0.58</t>
  </si>
  <si>
    <t>0.22, 0.33</t>
  </si>
  <si>
    <t>0.05, 0.46</t>
  </si>
  <si>
    <t>0.14, 0.21</t>
  </si>
  <si>
    <t>0.06, 0.21</t>
  </si>
  <si>
    <t>0.04, 0.12</t>
  </si>
  <si>
    <t>0.04, 0.19</t>
  </si>
  <si>
    <t>0.13, 0.13</t>
  </si>
  <si>
    <t>0.56, 0.72</t>
  </si>
  <si>
    <t>0.38, 0.80</t>
  </si>
  <si>
    <t>0.37, 0.54</t>
  </si>
  <si>
    <t>0.30, 0.72</t>
  </si>
  <si>
    <t>0.55, 0.55</t>
  </si>
  <si>
    <t>0.03, 0.04</t>
  </si>
  <si>
    <t>0.01, 0.09</t>
  </si>
  <si>
    <t>0.03, 0.03</t>
  </si>
  <si>
    <t>−0.02, 0.06</t>
  </si>
  <si>
    <t>1.31, 1.38</t>
  </si>
  <si>
    <t>0.87, 1.84</t>
  </si>
  <si>
    <t>1.14, 1.21</t>
  </si>
  <si>
    <t>0.68, 1.66</t>
  </si>
  <si>
    <t>1.26, 1.26</t>
  </si>
  <si>
    <t>26.73, 29.03</t>
  </si>
  <si>
    <t>8.13, 75.59</t>
  </si>
  <si>
    <t>13.85, 16.15</t>
  </si>
  <si>
    <t>−32.71, 34.75</t>
  </si>
  <si>
    <t>9.35, 57.88</t>
  </si>
  <si>
    <t>5.45 [2.92, 10.11]</t>
  </si>
  <si>
    <t>0.76 [0.01, 2.07]</t>
  </si>
  <si>
    <t>0.63 [0.11, 1.30]</t>
  </si>
  <si>
    <t>40.99 [32.36, 49.54]</t>
  </si>
  <si>
    <t>48.9 [37.22, 61.07]</t>
  </si>
  <si>
    <t>12.23 [7.83, 19.28]</t>
  </si>
  <si>
    <t>Resumen de parámetros estimados</t>
  </si>
  <si>
    <t>Modelo Final con estimación bayesiana</t>
  </si>
  <si>
    <t>Media</t>
  </si>
  <si>
    <t>Desv. Est.</t>
  </si>
  <si>
    <t>Percentiles</t>
  </si>
  <si>
    <t>CLHat</t>
  </si>
  <si>
    <t>QHat</t>
  </si>
  <si>
    <t>V1Hat</t>
  </si>
  <si>
    <t>V2Hat</t>
  </si>
  <si>
    <t>rho[3,4]</t>
  </si>
  <si>
    <t>−0.62</t>
  </si>
  <si>
    <t>−0.06</t>
  </si>
  <si>
    <t>omega[1]</t>
  </si>
  <si>
    <t>omega[2]</t>
  </si>
  <si>
    <t>omega[3]</t>
  </si>
  <si>
    <t>omega[4]</t>
  </si>
  <si>
    <t>rho1[3,4]</t>
  </si>
  <si>
    <t>5.88 [3.32, 11.09]</t>
  </si>
  <si>
    <t>46.49 [40.27, 52.39]</t>
  </si>
  <si>
    <t>60.3 [36.83, 192.86]</t>
  </si>
  <si>
    <t>0.81 [−0.06, 1.72]</t>
  </si>
  <si>
    <t>0.55 [−0.06, 1.09]</t>
  </si>
  <si>
    <t>10.39 [5.8, 21.74]</t>
  </si>
  <si>
    <t xml:space="preserve">$	\theta_0~\left(\mathrm{L/h}\right)$                    </t>
  </si>
  <si>
    <t>$\theta_1$</t>
  </si>
  <si>
    <t>$\theta_2$</t>
  </si>
  <si>
    <t>Bootstrap ML</t>
  </si>
  <si>
    <t>Bayesiano</t>
  </si>
  <si>
    <t>Mediana [IC/IP 95%]</t>
  </si>
  <si>
    <t>1 [0.81, 1.00]</t>
  </si>
  <si>
    <t>0.17 [−0.62, 0.77]</t>
  </si>
  <si>
    <t>0.3 [0.18, 0.41]</t>
  </si>
  <si>
    <t>0.06 [0.05, 0.09]</t>
  </si>
  <si>
    <t>0.29 [0.24, 0.34]</t>
  </si>
  <si>
    <t>0.1 [0.08, 0.13]</t>
  </si>
  <si>
    <t>0.14 [0.07, 0.25]</t>
  </si>
  <si>
    <t>0.3 [0.17, 0.58]</t>
  </si>
  <si>
    <t>0.11 [0.06, 0.21]</t>
  </si>
  <si>
    <t>0.53 [0.38, 0.80]</t>
  </si>
  <si>
    <t>0.03 [0.01, 0.09]</t>
  </si>
  <si>
    <t>1.31 [0.87, 1.84]</t>
  </si>
  <si>
    <t>23.31 [8.13, 75.59]</t>
  </si>
  <si>
    <t>26.4 [5, 42.8]</t>
  </si>
  <si>
    <t>27.5 [6.01, 50.9]</t>
  </si>
  <si>
    <t>15.1 [6.01, 23.3]</t>
  </si>
  <si>
    <t>67.1 [14.07, 109.9]</t>
  </si>
  <si>
    <t>22.3 [13.1, 39.4]</t>
  </si>
  <si>
    <t>108.1 [20.2, 328.1]</t>
  </si>
  <si>
    <t>10 [1, 28.6]</t>
  </si>
  <si>
    <t>28.6 [3, 239.1]</t>
  </si>
  <si>
    <t>0.13 [0.07, 0.25]</t>
  </si>
  <si>
    <t>0.22 [0.12, 0.5]</t>
  </si>
  <si>
    <t>0.1 [0.02, 0.22]</t>
  </si>
  <si>
    <t>0.42 [0.26, 0.79]</t>
  </si>
  <si>
    <t>0.03 [0.01, 0.08]</t>
  </si>
  <si>
    <t>1.63 [0.88, 2.65]</t>
  </si>
  <si>
    <t>24.55 [8.32, 107.18]</t>
  </si>
  <si>
    <t>17.98 [14.75, 21.37]</t>
  </si>
  <si>
    <t>3.63 [1.13, 6.2]</t>
  </si>
  <si>
    <t>Modelo final VAN por dos métodos - error aditivo</t>
  </si>
  <si>
    <t>19.35, 24.52</t>
  </si>
  <si>
    <t>15.53, 26.69</t>
  </si>
  <si>
    <t>15.91, 21.08</t>
  </si>
  <si>
    <t>13.74, 24.90</t>
  </si>
  <si>
    <t>16.89, 26.40</t>
  </si>
  <si>
    <t>4.44, 5.56</t>
  </si>
  <si>
    <t>2.61, 6.21</t>
  </si>
  <si>
    <t>3.42, 4.53</t>
  </si>
  <si>
    <t>2.76, 6.37</t>
  </si>
  <si>
    <t>4.24, 4.12</t>
  </si>
  <si>
    <t>20.24 [15.53, 26.69]</t>
  </si>
  <si>
    <t>4.19 [2.61, 6.21]</t>
  </si>
  <si>
    <t>$\rho_{\mathrm{V_1}\text{-}\mathrm{V_2}}$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</si>
</sst>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3"/>
      <color rgb="FF333333"/>
      <name val="Segoe UI"/>
      <family val="2"/>
    </font>
    <font>
      <sz val="9"/>
      <color rgb="FF333333"/>
      <name val="Segoe UI"/>
      <family val="2"/>
    </font>
    <font>
      <b/>
      <sz val="9"/>
      <color rgb="FF333333"/>
      <name val="Segoe UI"/>
      <family val="2"/>
    </font>
    <font>
      <sz val="10"/>
      <color rgb="FF333333"/>
      <name val="Segoe UI"/>
      <family val="2"/>
    </font>
    <font>
      <i/>
      <vertAlign val="superscript"/>
      <sz val="7"/>
      <color rgb="FF333333"/>
      <name val="Segoe UI"/>
      <family val="2"/>
    </font>
    <font>
      <sz val="7.5"/>
      <color rgb="FF333333"/>
      <name val="Segoe UI"/>
      <family val="2"/>
    </font>
    <font>
      <i/>
      <vertAlign val="superscript"/>
      <sz val="6"/>
      <color rgb="FF333333"/>
      <name val="Segoe UI"/>
      <family val="2"/>
    </font>
    <font>
      <b/>
      <sz val="15"/>
      <color rgb="FF333333"/>
      <name val="Segoe UI"/>
      <family val="2"/>
    </font>
    <font>
      <b/>
      <sz val="10"/>
      <color rgb="FF333333"/>
      <name val="Segoe UI"/>
      <family val="2"/>
    </font>
    <font>
      <b/>
      <sz val="12"/>
      <color rgb="FF333333"/>
      <name val="Segoe UI"/>
      <family val="2"/>
    </font>
    <font>
      <sz val="12"/>
      <color rgb="FF333333"/>
      <name val="Segoe UI"/>
      <family val="2"/>
    </font>
    <font>
      <sz val="14"/>
      <color rgb="FF333333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rgb="FFD3D3D3"/>
      </bottom>
      <diagonal/>
    </border>
    <border>
      <left/>
      <right/>
      <top style="medium">
        <color rgb="FFD3D3D3"/>
      </top>
      <bottom/>
      <diagonal/>
    </border>
    <border>
      <left/>
      <right/>
      <top style="thick">
        <color rgb="FFA8A8A8"/>
      </top>
      <bottom/>
      <diagonal/>
    </border>
    <border>
      <left/>
      <right/>
      <top/>
      <bottom style="thick">
        <color rgb="FFA8A8A8"/>
      </bottom>
      <diagonal/>
    </border>
    <border>
      <left/>
      <right/>
      <top style="thick">
        <color rgb="FFD3D3D3"/>
      </top>
      <bottom/>
      <diagonal/>
    </border>
    <border>
      <left/>
      <right/>
      <top/>
      <bottom style="medium">
        <color rgb="FFD3D3D3"/>
      </bottom>
      <diagonal/>
    </border>
    <border>
      <left/>
      <right style="thick">
        <color rgb="FFD3D3D3"/>
      </right>
      <top style="medium">
        <color rgb="FFD3D3D3"/>
      </top>
      <bottom/>
      <diagonal/>
    </border>
    <border>
      <left/>
      <right style="thick">
        <color rgb="FFD3D3D3"/>
      </right>
      <top style="medium">
        <color rgb="FFD3D3D3"/>
      </top>
      <bottom style="thick">
        <color rgb="FFA8A8A8"/>
      </bottom>
      <diagonal/>
    </border>
    <border>
      <left/>
      <right/>
      <top style="medium">
        <color rgb="FFD3D3D3"/>
      </top>
      <bottom style="thick">
        <color rgb="FFA8A8A8"/>
      </bottom>
      <diagonal/>
    </border>
    <border>
      <left/>
      <right style="thick">
        <color rgb="FFD3D3D3"/>
      </right>
      <top style="thick">
        <color rgb="FFA8A8A8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3" xfId="0" applyFont="1" applyBorder="1" applyAlignment="1">
      <alignment horizontal="center"/>
    </xf>
    <xf numFmtId="0" fontId="2" fillId="0" borderId="0" xfId="0" applyFont="1" applyAlignment="1">
      <alignment horizontal="left"/>
    </xf>
    <xf numFmtId="2" fontId="2" fillId="0" borderId="0" xfId="0" applyNumberFormat="1" applyFont="1" applyAlignment="1">
      <alignment horizontal="left"/>
    </xf>
    <xf numFmtId="2" fontId="2" fillId="0" borderId="0" xfId="0" applyNumberFormat="1" applyFont="1" applyFill="1" applyAlignment="1">
      <alignment horizontal="left"/>
    </xf>
    <xf numFmtId="0" fontId="2" fillId="0" borderId="3" xfId="0" applyFont="1" applyBorder="1" applyAlignment="1">
      <alignment horizontal="left"/>
    </xf>
    <xf numFmtId="2" fontId="2" fillId="0" borderId="3" xfId="0" applyNumberFormat="1" applyFont="1" applyFill="1" applyBorder="1" applyAlignment="1">
      <alignment horizontal="left"/>
    </xf>
    <xf numFmtId="2" fontId="2" fillId="0" borderId="3" xfId="0" applyNumberFormat="1" applyFont="1" applyBorder="1" applyAlignment="1">
      <alignment horizontal="left"/>
    </xf>
    <xf numFmtId="0" fontId="6" fillId="2" borderId="0" xfId="0" applyFont="1" applyFill="1" applyAlignment="1">
      <alignment horizontal="center" wrapText="1"/>
    </xf>
    <xf numFmtId="0" fontId="8" fillId="2" borderId="5" xfId="0" applyFont="1" applyFill="1" applyBorder="1" applyAlignment="1">
      <alignment horizontal="center" vertical="center" wrapText="1"/>
    </xf>
    <xf numFmtId="0" fontId="8" fillId="2" borderId="5" xfId="0" applyFont="1" applyFill="1" applyBorder="1" applyAlignment="1">
      <alignment horizontal="right" vertical="center" wrapText="1" indent="1"/>
    </xf>
    <xf numFmtId="0" fontId="9" fillId="2" borderId="0" xfId="0" applyFont="1" applyFill="1" applyAlignment="1">
      <alignment vertical="center" wrapText="1"/>
    </xf>
    <xf numFmtId="0" fontId="9" fillId="2" borderId="7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wrapText="1"/>
    </xf>
    <xf numFmtId="0" fontId="6" fillId="2" borderId="9" xfId="0" applyFont="1" applyFill="1" applyBorder="1" applyAlignment="1">
      <alignment horizontal="center" wrapText="1"/>
    </xf>
    <xf numFmtId="0" fontId="6" fillId="2" borderId="8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10" fontId="12" fillId="2" borderId="0" xfId="0" applyNumberFormat="1" applyFont="1" applyFill="1" applyAlignment="1">
      <alignment horizontal="center" wrapText="1"/>
    </xf>
    <xf numFmtId="0" fontId="13" fillId="2" borderId="10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right" vertical="center" wrapText="1" indent="1"/>
    </xf>
    <xf numFmtId="0" fontId="13" fillId="2" borderId="11" xfId="0" applyFont="1" applyFill="1" applyBorder="1" applyAlignment="1">
      <alignment horizontal="left" vertical="center" wrapText="1" indent="1"/>
    </xf>
    <xf numFmtId="0" fontId="14" fillId="2" borderId="12" xfId="0" applyFont="1" applyFill="1" applyBorder="1" applyAlignment="1">
      <alignment horizontal="right" vertical="center" wrapText="1" indent="1"/>
    </xf>
    <xf numFmtId="0" fontId="10" fillId="2" borderId="6" xfId="0" applyFont="1" applyFill="1" applyBorder="1" applyAlignment="1">
      <alignment horizontal="center" vertical="center" wrapText="1"/>
    </xf>
    <xf numFmtId="0" fontId="11" fillId="2" borderId="4" xfId="0" applyFont="1" applyFill="1" applyBorder="1" applyAlignment="1">
      <alignment horizontal="center" vertical="center" wrapText="1"/>
    </xf>
    <xf numFmtId="0" fontId="12" fillId="2" borderId="8" xfId="0" applyFont="1" applyFill="1" applyBorder="1" applyAlignment="1">
      <alignment horizontal="left" wrapText="1"/>
    </xf>
    <xf numFmtId="0" fontId="12" fillId="2" borderId="9" xfId="0" applyFont="1" applyFill="1" applyBorder="1" applyAlignment="1">
      <alignment horizontal="left" wrapText="1"/>
    </xf>
    <xf numFmtId="0" fontId="12" fillId="2" borderId="8" xfId="0" applyFont="1" applyFill="1" applyBorder="1" applyAlignment="1">
      <alignment horizontal="center" wrapText="1"/>
    </xf>
    <xf numFmtId="0" fontId="12" fillId="2" borderId="9" xfId="0" applyFont="1" applyFill="1" applyBorder="1" applyAlignment="1">
      <alignment horizontal="center" wrapText="1"/>
    </xf>
    <xf numFmtId="0" fontId="12" fillId="2" borderId="8" xfId="0" applyFont="1" applyFill="1" applyBorder="1" applyAlignment="1">
      <alignment horizontal="center" vertical="center" wrapText="1"/>
    </xf>
    <xf numFmtId="2" fontId="2" fillId="0" borderId="0" xfId="0" applyNumberFormat="1" applyFont="1" applyBorder="1" applyAlignment="1">
      <alignment horizontal="left"/>
    </xf>
    <xf numFmtId="0" fontId="13" fillId="2" borderId="13" xfId="0" applyFont="1" applyFill="1" applyBorder="1" applyAlignment="1">
      <alignment horizontal="left" vertical="center" wrapText="1" indent="1"/>
    </xf>
    <xf numFmtId="0" fontId="14" fillId="2" borderId="6" xfId="0" applyFont="1" applyFill="1" applyBorder="1" applyAlignment="1">
      <alignment horizontal="righ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9"/>
  <sheetViews>
    <sheetView topLeftCell="A12" workbookViewId="0">
      <selection activeCell="L25" sqref="L25:L26"/>
    </sheetView>
  </sheetViews>
  <sheetFormatPr baseColWidth="10" defaultRowHeight="15" x14ac:dyDescent="0.25"/>
  <cols>
    <col min="12" max="12" width="19.85546875" customWidth="1"/>
  </cols>
  <sheetData>
    <row r="1" spans="1:18" ht="19.5" customHeight="1" thickTop="1" x14ac:dyDescent="0.25">
      <c r="A1" s="15" t="s">
        <v>29</v>
      </c>
      <c r="B1" s="15"/>
      <c r="C1" s="15"/>
      <c r="D1" s="15"/>
      <c r="E1" s="15"/>
      <c r="F1" s="15"/>
      <c r="G1" s="15"/>
      <c r="H1" s="15"/>
      <c r="I1" s="15"/>
      <c r="J1" s="15"/>
    </row>
    <row r="2" spans="1:18" ht="15.75" customHeight="1" thickBot="1" x14ac:dyDescent="0.3">
      <c r="A2" s="16" t="s">
        <v>226</v>
      </c>
      <c r="B2" s="16"/>
      <c r="C2" s="16"/>
      <c r="D2" s="16"/>
      <c r="E2" s="16"/>
      <c r="F2" s="16"/>
      <c r="G2" s="16"/>
      <c r="H2" s="16"/>
      <c r="I2" s="16"/>
      <c r="J2" s="16"/>
    </row>
    <row r="3" spans="1:18" ht="15.75" customHeight="1" thickTop="1" x14ac:dyDescent="0.25">
      <c r="A3" s="17" t="s">
        <v>0</v>
      </c>
      <c r="B3" s="17" t="s">
        <v>30</v>
      </c>
      <c r="C3" s="17" t="s">
        <v>31</v>
      </c>
      <c r="D3" s="17" t="s">
        <v>32</v>
      </c>
      <c r="E3" s="19" t="s">
        <v>65</v>
      </c>
      <c r="F3" s="19"/>
      <c r="G3" s="19"/>
      <c r="H3" s="19"/>
      <c r="I3" s="19"/>
      <c r="J3" s="19"/>
    </row>
    <row r="4" spans="1:18" ht="15.75" thickBot="1" x14ac:dyDescent="0.3">
      <c r="A4" s="18"/>
      <c r="B4" s="18"/>
      <c r="C4" s="18"/>
      <c r="D4" s="18"/>
      <c r="E4" s="10" t="s">
        <v>3</v>
      </c>
      <c r="F4" s="10" t="s">
        <v>33</v>
      </c>
      <c r="G4" s="10" t="s">
        <v>34</v>
      </c>
      <c r="H4" s="10" t="s">
        <v>35</v>
      </c>
      <c r="I4" s="10" t="s">
        <v>36</v>
      </c>
      <c r="J4" s="10" t="s">
        <v>37</v>
      </c>
    </row>
    <row r="5" spans="1:18" ht="15.75" thickBot="1" x14ac:dyDescent="0.3">
      <c r="A5" s="11" t="s">
        <v>40</v>
      </c>
      <c r="B5" s="12">
        <v>5.7</v>
      </c>
      <c r="C5" s="12">
        <v>1.26</v>
      </c>
      <c r="D5" s="12">
        <v>22.04</v>
      </c>
      <c r="E5" s="12">
        <v>5.45</v>
      </c>
      <c r="F5" s="12" t="s">
        <v>66</v>
      </c>
      <c r="G5" s="12" t="s">
        <v>67</v>
      </c>
      <c r="H5" s="12" t="s">
        <v>68</v>
      </c>
      <c r="I5" s="12" t="s">
        <v>69</v>
      </c>
      <c r="J5" s="12" t="s">
        <v>70</v>
      </c>
    </row>
    <row r="6" spans="1:18" ht="20.25" thickBot="1" x14ac:dyDescent="0.3">
      <c r="A6" s="11" t="s">
        <v>71</v>
      </c>
      <c r="B6" s="12">
        <v>0.75</v>
      </c>
      <c r="C6" s="12">
        <v>0.34</v>
      </c>
      <c r="D6" s="12">
        <v>44.99</v>
      </c>
      <c r="E6" s="12">
        <v>0.76</v>
      </c>
      <c r="F6" s="12" t="s">
        <v>72</v>
      </c>
      <c r="G6" s="12" t="s">
        <v>73</v>
      </c>
      <c r="H6" s="12" t="s">
        <v>74</v>
      </c>
      <c r="I6" s="12" t="s">
        <v>75</v>
      </c>
      <c r="J6" s="12" t="s">
        <v>76</v>
      </c>
    </row>
    <row r="7" spans="1:18" ht="20.25" thickBot="1" x14ac:dyDescent="0.3">
      <c r="A7" s="11" t="s">
        <v>77</v>
      </c>
      <c r="B7" s="12">
        <v>0.61</v>
      </c>
      <c r="C7" s="12">
        <v>0.21</v>
      </c>
      <c r="D7" s="12">
        <v>35.44</v>
      </c>
      <c r="E7" s="12">
        <v>0.63</v>
      </c>
      <c r="F7" s="12" t="s">
        <v>78</v>
      </c>
      <c r="G7" s="12" t="s">
        <v>79</v>
      </c>
      <c r="H7" s="12" t="s">
        <v>80</v>
      </c>
      <c r="I7" s="12" t="s">
        <v>81</v>
      </c>
      <c r="J7" s="12" t="s">
        <v>82</v>
      </c>
    </row>
    <row r="8" spans="1:18" ht="15.75" thickBot="1" x14ac:dyDescent="0.3">
      <c r="A8" s="11" t="s">
        <v>38</v>
      </c>
      <c r="B8" s="12">
        <v>40.479999999999997</v>
      </c>
      <c r="C8" s="12">
        <v>3.56</v>
      </c>
      <c r="D8" s="12">
        <v>8.8000000000000007</v>
      </c>
      <c r="E8" s="12">
        <v>40.99</v>
      </c>
      <c r="F8" s="12" t="s">
        <v>83</v>
      </c>
      <c r="G8" s="12" t="s">
        <v>84</v>
      </c>
      <c r="H8" s="12" t="s">
        <v>85</v>
      </c>
      <c r="I8" s="12" t="s">
        <v>86</v>
      </c>
      <c r="J8" s="12" t="s">
        <v>87</v>
      </c>
    </row>
    <row r="9" spans="1:18" ht="15.75" thickBot="1" x14ac:dyDescent="0.3">
      <c r="A9" s="11" t="s">
        <v>39</v>
      </c>
      <c r="B9" s="12">
        <v>45.11</v>
      </c>
      <c r="C9" s="12">
        <v>4.17</v>
      </c>
      <c r="D9" s="12">
        <v>9.23</v>
      </c>
      <c r="E9" s="12">
        <v>48.9</v>
      </c>
      <c r="F9" s="12" t="s">
        <v>88</v>
      </c>
      <c r="G9" s="12" t="s">
        <v>89</v>
      </c>
      <c r="H9" s="12" t="s">
        <v>90</v>
      </c>
      <c r="I9" s="12" t="s">
        <v>91</v>
      </c>
      <c r="J9" s="12" t="s">
        <v>92</v>
      </c>
    </row>
    <row r="10" spans="1:18" ht="15.75" thickBot="1" x14ac:dyDescent="0.3">
      <c r="A10" s="11" t="s">
        <v>41</v>
      </c>
      <c r="B10" s="12">
        <v>12.75</v>
      </c>
      <c r="C10" s="12">
        <v>2.84</v>
      </c>
      <c r="D10" s="12">
        <v>22.26</v>
      </c>
      <c r="E10" s="12">
        <v>12.23</v>
      </c>
      <c r="F10" s="12" t="s">
        <v>93</v>
      </c>
      <c r="G10" s="12" t="s">
        <v>94</v>
      </c>
      <c r="H10" s="12" t="s">
        <v>95</v>
      </c>
      <c r="I10" s="12" t="s">
        <v>96</v>
      </c>
      <c r="J10" s="12" t="s">
        <v>97</v>
      </c>
    </row>
    <row r="11" spans="1:18" ht="15.75" thickBot="1" x14ac:dyDescent="0.3">
      <c r="A11" s="11" t="s">
        <v>42</v>
      </c>
      <c r="B11" s="12">
        <v>0.27</v>
      </c>
      <c r="C11" s="12">
        <v>0.08</v>
      </c>
      <c r="D11" s="12">
        <v>28.88</v>
      </c>
      <c r="E11" s="12">
        <v>0.26</v>
      </c>
      <c r="F11" s="12" t="s">
        <v>98</v>
      </c>
      <c r="G11" s="12" t="s">
        <v>99</v>
      </c>
      <c r="H11" s="12" t="s">
        <v>100</v>
      </c>
      <c r="I11" s="12" t="s">
        <v>101</v>
      </c>
      <c r="J11" s="12" t="s">
        <v>43</v>
      </c>
      <c r="L11" t="str">
        <f>E11&amp;" ["&amp;G11&amp;"]"</f>
        <v>0.26 [0.05, 0.41]</v>
      </c>
      <c r="N11">
        <f>ROUND(coeficienteVariacion(E11)*100,1)</f>
        <v>26.4</v>
      </c>
      <c r="O11">
        <f>ROUND(coeficienteVariacion(MID(G11,1,FIND(",",G11,1)-1))*100,2)</f>
        <v>5</v>
      </c>
      <c r="P11">
        <f>ROUND(coeficienteVariacion(RIGHT(G11,FIND(",",G11,1)-1))*100, 1)</f>
        <v>42.8</v>
      </c>
      <c r="R11" t="str">
        <f>N11&amp;" ["&amp;O11&amp;", "&amp;P11&amp;"]"</f>
        <v>26.4 [5, 42.8]</v>
      </c>
    </row>
    <row r="12" spans="1:18" ht="15.75" thickBot="1" x14ac:dyDescent="0.3">
      <c r="A12" s="11" t="s">
        <v>44</v>
      </c>
      <c r="B12" s="12">
        <v>0.28000000000000003</v>
      </c>
      <c r="C12" s="12">
        <v>0.09</v>
      </c>
      <c r="D12" s="12">
        <v>31.67</v>
      </c>
      <c r="E12" s="12">
        <v>0.27</v>
      </c>
      <c r="F12" s="12" t="s">
        <v>102</v>
      </c>
      <c r="G12" s="12" t="s">
        <v>103</v>
      </c>
      <c r="H12" s="12" t="s">
        <v>104</v>
      </c>
      <c r="I12" s="12" t="s">
        <v>105</v>
      </c>
      <c r="J12" s="12" t="s">
        <v>106</v>
      </c>
      <c r="L12" t="str">
        <f>E12&amp;" ["&amp;G12&amp;"]"</f>
        <v>0.27 [0.06, 0.48]</v>
      </c>
      <c r="N12">
        <f t="shared" ref="N12:N14" si="0">ROUND(coeficienteVariacion(E12)*100,1)</f>
        <v>27.5</v>
      </c>
      <c r="O12">
        <f t="shared" ref="O12:O14" si="1">ROUND(coeficienteVariacion(MID(G12,1,FIND(",",G12,1)-1))*100,2)</f>
        <v>6.01</v>
      </c>
      <c r="P12">
        <f t="shared" ref="P12:P14" si="2">ROUND(coeficienteVariacion(RIGHT(G12,FIND(",",G12,1)-1))*100, 1)</f>
        <v>50.9</v>
      </c>
      <c r="R12" t="str">
        <f t="shared" ref="R12:R14" si="3">N12&amp;" ["&amp;O12&amp;", "&amp;P12&amp;"]"</f>
        <v>27.5 [6.01, 50.9]</v>
      </c>
    </row>
    <row r="13" spans="1:18" ht="15.75" thickBot="1" x14ac:dyDescent="0.3">
      <c r="A13" s="11" t="s">
        <v>45</v>
      </c>
      <c r="B13" s="12">
        <v>0.18</v>
      </c>
      <c r="C13" s="12">
        <v>0.04</v>
      </c>
      <c r="D13" s="12">
        <v>19.420000000000002</v>
      </c>
      <c r="E13" s="12">
        <v>0.15</v>
      </c>
      <c r="F13" s="12" t="s">
        <v>107</v>
      </c>
      <c r="G13" s="12" t="s">
        <v>108</v>
      </c>
      <c r="H13" s="12" t="s">
        <v>109</v>
      </c>
      <c r="I13" s="12" t="s">
        <v>110</v>
      </c>
      <c r="J13" s="12" t="s">
        <v>111</v>
      </c>
      <c r="L13" t="str">
        <f>E13&amp;" ["&amp;G13&amp;"]"</f>
        <v>0.15 [0.06, 0.23]</v>
      </c>
      <c r="N13">
        <f t="shared" si="0"/>
        <v>15.1</v>
      </c>
      <c r="O13">
        <f t="shared" si="1"/>
        <v>6.01</v>
      </c>
      <c r="P13">
        <f t="shared" si="2"/>
        <v>23.3</v>
      </c>
      <c r="R13" t="str">
        <f t="shared" si="3"/>
        <v>15.1 [6.01, 23.3]</v>
      </c>
    </row>
    <row r="14" spans="1:18" ht="15.75" thickBot="1" x14ac:dyDescent="0.3">
      <c r="A14" s="11" t="s">
        <v>46</v>
      </c>
      <c r="B14" s="12">
        <v>0.64</v>
      </c>
      <c r="C14" s="12">
        <v>0.17</v>
      </c>
      <c r="D14" s="12">
        <v>25.71</v>
      </c>
      <c r="E14" s="12">
        <v>0.61</v>
      </c>
      <c r="F14" s="12" t="s">
        <v>112</v>
      </c>
      <c r="G14" s="12" t="s">
        <v>113</v>
      </c>
      <c r="H14" s="12" t="s">
        <v>114</v>
      </c>
      <c r="I14" s="12" t="s">
        <v>115</v>
      </c>
      <c r="J14" s="12" t="s">
        <v>116</v>
      </c>
      <c r="L14" t="str">
        <f>E14&amp;" ["&amp;G14&amp;"]"</f>
        <v>0.61 [0.14, 0.89]</v>
      </c>
      <c r="N14">
        <f t="shared" si="0"/>
        <v>67.099999999999994</v>
      </c>
      <c r="O14">
        <f t="shared" si="1"/>
        <v>14.07</v>
      </c>
      <c r="P14">
        <f t="shared" si="2"/>
        <v>109.9</v>
      </c>
      <c r="R14" t="str">
        <f t="shared" si="3"/>
        <v>67.1 [14.07, 109.9]</v>
      </c>
    </row>
    <row r="15" spans="1:18" ht="15.75" thickBot="1" x14ac:dyDescent="0.3">
      <c r="A15" s="11" t="s">
        <v>47</v>
      </c>
      <c r="B15" s="12">
        <v>1</v>
      </c>
      <c r="C15" s="12">
        <v>0.01</v>
      </c>
      <c r="D15" s="12">
        <v>0.66</v>
      </c>
      <c r="E15" s="12">
        <v>1</v>
      </c>
      <c r="F15" s="12" t="s">
        <v>117</v>
      </c>
      <c r="G15" s="12" t="s">
        <v>118</v>
      </c>
      <c r="H15" s="12" t="s">
        <v>119</v>
      </c>
      <c r="I15" s="12" t="s">
        <v>120</v>
      </c>
      <c r="J15" s="12" t="s">
        <v>48</v>
      </c>
      <c r="L15" t="str">
        <f>E15&amp;" ["&amp;G15&amp;"]"</f>
        <v>1 [0.81, 1.00]</v>
      </c>
    </row>
    <row r="16" spans="1:18" ht="15.75" thickBot="1" x14ac:dyDescent="0.3">
      <c r="A16" s="11" t="s">
        <v>49</v>
      </c>
      <c r="B16" s="12">
        <v>0.3</v>
      </c>
      <c r="C16" s="12">
        <v>0.02</v>
      </c>
      <c r="D16" s="12">
        <v>7.6</v>
      </c>
      <c r="E16" s="12">
        <v>0.3</v>
      </c>
      <c r="F16" s="12" t="s">
        <v>121</v>
      </c>
      <c r="G16" s="12" t="s">
        <v>122</v>
      </c>
      <c r="H16" s="12" t="s">
        <v>123</v>
      </c>
      <c r="I16" s="12" t="s">
        <v>124</v>
      </c>
      <c r="J16" s="12" t="s">
        <v>50</v>
      </c>
      <c r="L16" t="str">
        <f t="shared" ref="L12:L26" si="4">E16&amp;" ["&amp;G16&amp;"]"</f>
        <v>0.3 [0.18, 0.41]</v>
      </c>
    </row>
    <row r="17" spans="1:12" ht="15.75" thickBot="1" x14ac:dyDescent="0.3">
      <c r="A17" s="11" t="s">
        <v>51</v>
      </c>
      <c r="B17" s="12">
        <v>0.06</v>
      </c>
      <c r="C17" s="12">
        <v>0.01</v>
      </c>
      <c r="D17" s="12">
        <v>10.36</v>
      </c>
      <c r="E17" s="12">
        <v>0.06</v>
      </c>
      <c r="F17" s="12" t="s">
        <v>125</v>
      </c>
      <c r="G17" s="12" t="s">
        <v>126</v>
      </c>
      <c r="H17" s="12" t="s">
        <v>52</v>
      </c>
      <c r="I17" s="12" t="s">
        <v>127</v>
      </c>
      <c r="J17" s="12" t="s">
        <v>52</v>
      </c>
      <c r="L17" t="str">
        <f t="shared" si="4"/>
        <v>0.06 [0.05, 0.09]</v>
      </c>
    </row>
    <row r="18" spans="1:12" ht="15.75" thickBot="1" x14ac:dyDescent="0.3">
      <c r="A18" s="11" t="s">
        <v>53</v>
      </c>
      <c r="B18" s="12">
        <v>0.14000000000000001</v>
      </c>
      <c r="C18" s="12" t="s">
        <v>13</v>
      </c>
      <c r="D18" s="12" t="s">
        <v>13</v>
      </c>
      <c r="E18" s="12">
        <v>0.14000000000000001</v>
      </c>
      <c r="F18" s="12" t="s">
        <v>128</v>
      </c>
      <c r="G18" s="12" t="s">
        <v>129</v>
      </c>
      <c r="H18" s="12" t="s">
        <v>130</v>
      </c>
      <c r="I18" s="12" t="s">
        <v>131</v>
      </c>
      <c r="J18" s="12" t="s">
        <v>132</v>
      </c>
      <c r="L18" t="str">
        <f t="shared" si="4"/>
        <v>0.14 [0.07, 0.25]</v>
      </c>
    </row>
    <row r="19" spans="1:12" ht="15.75" thickBot="1" x14ac:dyDescent="0.3">
      <c r="A19" s="11" t="s">
        <v>54</v>
      </c>
      <c r="B19" s="12">
        <v>0.32</v>
      </c>
      <c r="C19" s="12" t="s">
        <v>13</v>
      </c>
      <c r="D19" s="12" t="s">
        <v>13</v>
      </c>
      <c r="E19" s="12">
        <v>0.3</v>
      </c>
      <c r="F19" s="12" t="s">
        <v>133</v>
      </c>
      <c r="G19" s="12" t="s">
        <v>134</v>
      </c>
      <c r="H19" s="12" t="s">
        <v>135</v>
      </c>
      <c r="I19" s="12" t="s">
        <v>136</v>
      </c>
      <c r="J19" s="12" t="s">
        <v>123</v>
      </c>
      <c r="L19" t="str">
        <f t="shared" si="4"/>
        <v>0.3 [0.17, 0.58]</v>
      </c>
    </row>
    <row r="20" spans="1:12" ht="15.75" thickBot="1" x14ac:dyDescent="0.3">
      <c r="A20" s="11" t="s">
        <v>55</v>
      </c>
      <c r="B20" s="12">
        <v>0.13</v>
      </c>
      <c r="C20" s="12" t="s">
        <v>13</v>
      </c>
      <c r="D20" s="12" t="s">
        <v>13</v>
      </c>
      <c r="E20" s="12">
        <v>0.11</v>
      </c>
      <c r="F20" s="12" t="s">
        <v>137</v>
      </c>
      <c r="G20" s="12" t="s">
        <v>138</v>
      </c>
      <c r="H20" s="12" t="s">
        <v>139</v>
      </c>
      <c r="I20" s="12" t="s">
        <v>140</v>
      </c>
      <c r="J20" s="12" t="s">
        <v>141</v>
      </c>
      <c r="L20" t="str">
        <f t="shared" si="4"/>
        <v>0.11 [0.06, 0.21]</v>
      </c>
    </row>
    <row r="21" spans="1:12" ht="15.75" thickBot="1" x14ac:dyDescent="0.3">
      <c r="A21" s="11" t="s">
        <v>56</v>
      </c>
      <c r="B21" s="12">
        <v>0.55000000000000004</v>
      </c>
      <c r="C21" s="12" t="s">
        <v>13</v>
      </c>
      <c r="D21" s="12" t="s">
        <v>13</v>
      </c>
      <c r="E21" s="12">
        <v>0.53</v>
      </c>
      <c r="F21" s="12" t="s">
        <v>142</v>
      </c>
      <c r="G21" s="12" t="s">
        <v>143</v>
      </c>
      <c r="H21" s="12" t="s">
        <v>144</v>
      </c>
      <c r="I21" s="12" t="s">
        <v>145</v>
      </c>
      <c r="J21" s="12" t="s">
        <v>146</v>
      </c>
      <c r="L21" t="str">
        <f t="shared" si="4"/>
        <v>0.53 [0.38, 0.80]</v>
      </c>
    </row>
    <row r="22" spans="1:12" ht="15.75" thickBot="1" x14ac:dyDescent="0.3">
      <c r="A22" s="11" t="s">
        <v>57</v>
      </c>
      <c r="B22" s="12">
        <v>0.03</v>
      </c>
      <c r="C22" s="12" t="s">
        <v>13</v>
      </c>
      <c r="D22" s="12" t="s">
        <v>13</v>
      </c>
      <c r="E22" s="12">
        <v>0.03</v>
      </c>
      <c r="F22" s="12" t="s">
        <v>147</v>
      </c>
      <c r="G22" s="12" t="s">
        <v>148</v>
      </c>
      <c r="H22" s="12" t="s">
        <v>149</v>
      </c>
      <c r="I22" s="12" t="s">
        <v>150</v>
      </c>
      <c r="J22" s="12" t="s">
        <v>149</v>
      </c>
      <c r="L22" t="str">
        <f t="shared" si="4"/>
        <v>0.03 [0.01, 0.09]</v>
      </c>
    </row>
    <row r="23" spans="1:12" ht="15.75" thickBot="1" x14ac:dyDescent="0.3">
      <c r="A23" s="11" t="s">
        <v>58</v>
      </c>
      <c r="B23" s="12">
        <v>1.26</v>
      </c>
      <c r="C23" s="12" t="s">
        <v>61</v>
      </c>
      <c r="D23" s="12" t="s">
        <v>61</v>
      </c>
      <c r="E23" s="12">
        <v>1.31</v>
      </c>
      <c r="F23" s="12" t="s">
        <v>151</v>
      </c>
      <c r="G23" s="12" t="s">
        <v>152</v>
      </c>
      <c r="H23" s="12" t="s">
        <v>153</v>
      </c>
      <c r="I23" s="12" t="s">
        <v>154</v>
      </c>
      <c r="J23" s="12" t="s">
        <v>155</v>
      </c>
      <c r="L23" t="str">
        <f t="shared" si="4"/>
        <v>1.31 [0.87, 1.84]</v>
      </c>
    </row>
    <row r="24" spans="1:12" ht="15.75" thickBot="1" x14ac:dyDescent="0.3">
      <c r="A24" s="11" t="s">
        <v>59</v>
      </c>
      <c r="B24" s="12">
        <v>21.44</v>
      </c>
      <c r="C24" s="12" t="s">
        <v>61</v>
      </c>
      <c r="D24" s="12" t="s">
        <v>61</v>
      </c>
      <c r="E24" s="12">
        <v>23.31</v>
      </c>
      <c r="F24" s="12" t="s">
        <v>156</v>
      </c>
      <c r="G24" s="12" t="s">
        <v>157</v>
      </c>
      <c r="H24" s="12" t="s">
        <v>158</v>
      </c>
      <c r="I24" s="12" t="s">
        <v>159</v>
      </c>
      <c r="J24" s="12" t="s">
        <v>160</v>
      </c>
      <c r="L24" t="str">
        <f t="shared" si="4"/>
        <v>23.31 [8.13, 75.59]</v>
      </c>
    </row>
    <row r="25" spans="1:12" ht="15.75" thickBot="1" x14ac:dyDescent="0.3">
      <c r="A25" s="11" t="s">
        <v>60</v>
      </c>
      <c r="B25" s="12">
        <v>20.21</v>
      </c>
      <c r="C25" s="12" t="s">
        <v>61</v>
      </c>
      <c r="D25" s="12" t="s">
        <v>61</v>
      </c>
      <c r="E25" s="12">
        <v>20.239999999999998</v>
      </c>
      <c r="F25" s="12" t="s">
        <v>227</v>
      </c>
      <c r="G25" s="12" t="s">
        <v>228</v>
      </c>
      <c r="H25" s="12" t="s">
        <v>229</v>
      </c>
      <c r="I25" s="12" t="s">
        <v>230</v>
      </c>
      <c r="J25" s="12" t="s">
        <v>231</v>
      </c>
      <c r="L25" t="str">
        <f>E25&amp;" ["&amp;G25&amp;"]"</f>
        <v>20.24 [15.53, 26.69]</v>
      </c>
    </row>
    <row r="26" spans="1:12" x14ac:dyDescent="0.25">
      <c r="A26" s="11" t="s">
        <v>62</v>
      </c>
      <c r="B26" s="12">
        <v>4.49</v>
      </c>
      <c r="C26" s="12" t="s">
        <v>61</v>
      </c>
      <c r="D26" s="12" t="s">
        <v>61</v>
      </c>
      <c r="E26" s="12">
        <v>4.1900000000000004</v>
      </c>
      <c r="F26" s="12" t="s">
        <v>232</v>
      </c>
      <c r="G26" s="12" t="s">
        <v>233</v>
      </c>
      <c r="H26" s="12" t="s">
        <v>234</v>
      </c>
      <c r="I26" s="12" t="s">
        <v>235</v>
      </c>
      <c r="J26" s="12" t="s">
        <v>236</v>
      </c>
      <c r="L26" t="str">
        <f t="shared" si="4"/>
        <v>4.19 [2.61, 6.21]</v>
      </c>
    </row>
    <row r="27" spans="1:12" ht="15" customHeight="1" x14ac:dyDescent="0.25">
      <c r="A27" s="13" t="s">
        <v>63</v>
      </c>
      <c r="B27" s="13"/>
      <c r="C27" s="13"/>
      <c r="D27" s="13"/>
      <c r="E27" s="13"/>
      <c r="F27" s="13"/>
      <c r="G27" s="13"/>
      <c r="H27" s="13"/>
      <c r="I27" s="13"/>
      <c r="J27" s="13"/>
    </row>
    <row r="28" spans="1:12" ht="15.75" customHeight="1" thickBot="1" x14ac:dyDescent="0.3">
      <c r="A28" s="14" t="s">
        <v>64</v>
      </c>
      <c r="B28" s="14"/>
      <c r="C28" s="14"/>
      <c r="D28" s="14"/>
      <c r="E28" s="14"/>
      <c r="F28" s="14"/>
      <c r="G28" s="14"/>
      <c r="H28" s="14"/>
      <c r="I28" s="14"/>
      <c r="J28" s="14"/>
    </row>
    <row r="29" spans="1:12" ht="15.75" thickTop="1" x14ac:dyDescent="0.25"/>
  </sheetData>
  <mergeCells count="9">
    <mergeCell ref="A27:J27"/>
    <mergeCell ref="A28:J28"/>
    <mergeCell ref="A1:J1"/>
    <mergeCell ref="A2:J2"/>
    <mergeCell ref="A3:A4"/>
    <mergeCell ref="B3:B4"/>
    <mergeCell ref="C3:C4"/>
    <mergeCell ref="D3:D4"/>
    <mergeCell ref="E3:J3"/>
  </mergeCells>
  <pageMargins left="0.7" right="0.7" top="0.75" bottom="0.75" header="0.3" footer="0.3"/>
  <pageSetup paperSize="11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0000"/>
  </sheetPr>
  <dimension ref="A1:H29"/>
  <sheetViews>
    <sheetView tabSelected="1" workbookViewId="0">
      <selection activeCell="A15" sqref="A15"/>
    </sheetView>
  </sheetViews>
  <sheetFormatPr baseColWidth="10" defaultRowHeight="12" x14ac:dyDescent="0.2"/>
  <cols>
    <col min="1" max="1" width="30.7109375" style="2" bestFit="1" customWidth="1"/>
    <col min="2" max="2" width="12.5703125" style="2" bestFit="1" customWidth="1"/>
    <col min="3" max="4" width="11.42578125" style="1"/>
    <col min="5" max="6" width="15" style="1" bestFit="1" customWidth="1"/>
    <col min="7" max="7" width="8.140625" style="1" customWidth="1"/>
    <col min="8" max="8" width="11.42578125" style="1"/>
    <col min="9" max="16384" width="11.42578125" style="2"/>
  </cols>
  <sheetData>
    <row r="1" spans="1:7" x14ac:dyDescent="0.2">
      <c r="A1" s="21" t="s">
        <v>0</v>
      </c>
      <c r="B1" s="21" t="s">
        <v>1</v>
      </c>
      <c r="C1" s="23" t="s">
        <v>2</v>
      </c>
      <c r="D1" s="23"/>
      <c r="E1" s="23" t="s">
        <v>195</v>
      </c>
      <c r="F1" s="23"/>
      <c r="G1" s="2"/>
    </row>
    <row r="2" spans="1:7" x14ac:dyDescent="0.2">
      <c r="A2" s="22"/>
      <c r="B2" s="22"/>
      <c r="C2" s="3" t="s">
        <v>4</v>
      </c>
      <c r="D2" s="3" t="s">
        <v>23</v>
      </c>
      <c r="E2" s="3" t="s">
        <v>193</v>
      </c>
      <c r="F2" s="3" t="s">
        <v>194</v>
      </c>
      <c r="G2" s="2"/>
    </row>
    <row r="3" spans="1:7" x14ac:dyDescent="0.2">
      <c r="A3" s="20" t="s">
        <v>5</v>
      </c>
      <c r="B3" s="20"/>
      <c r="C3" s="20"/>
      <c r="D3" s="20"/>
      <c r="E3" s="20"/>
      <c r="F3" s="20"/>
      <c r="G3" s="2"/>
    </row>
    <row r="4" spans="1:7" x14ac:dyDescent="0.2">
      <c r="A4" s="4" t="s">
        <v>190</v>
      </c>
      <c r="B4" s="4">
        <v>5.7</v>
      </c>
      <c r="C4" s="4">
        <v>1.26</v>
      </c>
      <c r="D4" s="4">
        <v>22.04</v>
      </c>
      <c r="E4" s="25" t="s">
        <v>161</v>
      </c>
      <c r="F4" s="25" t="s">
        <v>184</v>
      </c>
      <c r="G4" s="2"/>
    </row>
    <row r="5" spans="1:7" x14ac:dyDescent="0.2">
      <c r="A5" s="4" t="s">
        <v>191</v>
      </c>
      <c r="B5" s="4">
        <v>0.61</v>
      </c>
      <c r="C5" s="4">
        <v>0.21</v>
      </c>
      <c r="D5" s="4">
        <v>35.44</v>
      </c>
      <c r="E5" s="25" t="s">
        <v>163</v>
      </c>
      <c r="F5" s="25" t="s">
        <v>188</v>
      </c>
      <c r="G5" s="2"/>
    </row>
    <row r="6" spans="1:7" x14ac:dyDescent="0.2">
      <c r="A6" s="4" t="s">
        <v>192</v>
      </c>
      <c r="B6" s="4">
        <v>0.75</v>
      </c>
      <c r="C6" s="4">
        <v>0.34</v>
      </c>
      <c r="D6" s="4">
        <v>44.99</v>
      </c>
      <c r="E6" s="25" t="s">
        <v>162</v>
      </c>
      <c r="F6" s="25" t="s">
        <v>187</v>
      </c>
      <c r="G6" s="2"/>
    </row>
    <row r="7" spans="1:7" x14ac:dyDescent="0.2">
      <c r="A7" s="4" t="s">
        <v>15</v>
      </c>
      <c r="B7" s="4">
        <v>12.75</v>
      </c>
      <c r="C7" s="4">
        <v>2.84</v>
      </c>
      <c r="D7" s="4">
        <v>22.26</v>
      </c>
      <c r="E7" s="25" t="s">
        <v>166</v>
      </c>
      <c r="F7" s="25" t="s">
        <v>189</v>
      </c>
      <c r="G7" s="2"/>
    </row>
    <row r="8" spans="1:7" x14ac:dyDescent="0.2">
      <c r="A8" s="4" t="s">
        <v>14</v>
      </c>
      <c r="B8" s="4">
        <v>40.479999999999997</v>
      </c>
      <c r="C8" s="4">
        <v>3.56</v>
      </c>
      <c r="D8" s="4">
        <v>8.8000000000000007</v>
      </c>
      <c r="E8" s="25" t="s">
        <v>164</v>
      </c>
      <c r="F8" s="25" t="s">
        <v>185</v>
      </c>
      <c r="G8" s="2"/>
    </row>
    <row r="9" spans="1:7" x14ac:dyDescent="0.2">
      <c r="A9" s="4" t="s">
        <v>16</v>
      </c>
      <c r="B9" s="4">
        <v>45.11</v>
      </c>
      <c r="C9" s="4">
        <v>4.17</v>
      </c>
      <c r="D9" s="4">
        <v>9.23</v>
      </c>
      <c r="E9" s="25" t="s">
        <v>165</v>
      </c>
      <c r="F9" s="25" t="s">
        <v>186</v>
      </c>
      <c r="G9" s="2"/>
    </row>
    <row r="10" spans="1:7" x14ac:dyDescent="0.2">
      <c r="A10" s="20" t="s">
        <v>24</v>
      </c>
      <c r="B10" s="20"/>
      <c r="C10" s="20"/>
      <c r="D10" s="20"/>
      <c r="E10" s="20"/>
      <c r="F10" s="20"/>
      <c r="G10" s="2"/>
    </row>
    <row r="11" spans="1:7" x14ac:dyDescent="0.2">
      <c r="A11" s="4" t="s">
        <v>17</v>
      </c>
      <c r="B11" s="25">
        <v>18.100000000000001</v>
      </c>
      <c r="C11" s="38">
        <v>4</v>
      </c>
      <c r="D11" s="25">
        <v>19.420000000000002</v>
      </c>
      <c r="E11" s="25" t="s">
        <v>211</v>
      </c>
      <c r="F11" s="25" t="s">
        <v>213</v>
      </c>
      <c r="G11" s="2"/>
    </row>
    <row r="12" spans="1:7" x14ac:dyDescent="0.2">
      <c r="A12" s="4" t="s">
        <v>19</v>
      </c>
      <c r="B12" s="25">
        <v>71.099999999999994</v>
      </c>
      <c r="C12" s="25">
        <v>17.12</v>
      </c>
      <c r="D12" s="25">
        <v>25.71</v>
      </c>
      <c r="E12" s="25" t="s">
        <v>212</v>
      </c>
      <c r="F12" s="25" t="s">
        <v>214</v>
      </c>
      <c r="G12" s="2"/>
    </row>
    <row r="13" spans="1:7" x14ac:dyDescent="0.2">
      <c r="A13" s="4" t="s">
        <v>18</v>
      </c>
      <c r="B13" s="25">
        <v>27.5</v>
      </c>
      <c r="C13" s="25">
        <v>8.01</v>
      </c>
      <c r="D13" s="25">
        <v>28.88</v>
      </c>
      <c r="E13" s="25" t="s">
        <v>209</v>
      </c>
      <c r="F13" s="25" t="s">
        <v>215</v>
      </c>
      <c r="G13" s="24"/>
    </row>
    <row r="14" spans="1:7" x14ac:dyDescent="0.2">
      <c r="A14" s="4" t="s">
        <v>20</v>
      </c>
      <c r="B14" s="25">
        <v>28.6</v>
      </c>
      <c r="C14" s="25">
        <v>9.02</v>
      </c>
      <c r="D14" s="25">
        <v>31.67</v>
      </c>
      <c r="E14" s="25" t="s">
        <v>210</v>
      </c>
      <c r="F14" s="25" t="s">
        <v>216</v>
      </c>
      <c r="G14" s="24"/>
    </row>
    <row r="15" spans="1:7" x14ac:dyDescent="0.2">
      <c r="A15" s="4" t="s">
        <v>239</v>
      </c>
      <c r="B15" s="25">
        <v>1</v>
      </c>
      <c r="C15" s="25">
        <v>0.01</v>
      </c>
      <c r="D15" s="25">
        <v>0.66</v>
      </c>
      <c r="E15" s="25" t="s">
        <v>196</v>
      </c>
      <c r="F15" s="25" t="s">
        <v>197</v>
      </c>
      <c r="G15" s="24"/>
    </row>
    <row r="16" spans="1:7" x14ac:dyDescent="0.2">
      <c r="A16" s="20" t="s">
        <v>25</v>
      </c>
      <c r="B16" s="20"/>
      <c r="C16" s="20"/>
      <c r="D16" s="20"/>
      <c r="E16" s="20"/>
      <c r="F16" s="20"/>
      <c r="G16" s="24"/>
    </row>
    <row r="17" spans="1:7" x14ac:dyDescent="0.2">
      <c r="A17" s="4" t="s">
        <v>27</v>
      </c>
      <c r="B17" s="25">
        <v>0.3</v>
      </c>
      <c r="C17" s="25">
        <v>0.02</v>
      </c>
      <c r="D17" s="25">
        <v>7.6</v>
      </c>
      <c r="E17" s="25" t="s">
        <v>198</v>
      </c>
      <c r="F17" s="25" t="s">
        <v>200</v>
      </c>
      <c r="G17" s="24"/>
    </row>
    <row r="18" spans="1:7" x14ac:dyDescent="0.2">
      <c r="A18" s="4" t="s">
        <v>28</v>
      </c>
      <c r="B18" s="25">
        <v>0.06</v>
      </c>
      <c r="C18" s="25">
        <v>0.01</v>
      </c>
      <c r="D18" s="25">
        <v>10.36</v>
      </c>
      <c r="E18" s="25" t="s">
        <v>199</v>
      </c>
      <c r="F18" s="25" t="s">
        <v>201</v>
      </c>
      <c r="G18" s="24"/>
    </row>
    <row r="19" spans="1:7" x14ac:dyDescent="0.2">
      <c r="A19" s="20" t="s">
        <v>26</v>
      </c>
      <c r="B19" s="20"/>
      <c r="C19" s="20"/>
      <c r="D19" s="20"/>
      <c r="E19" s="20"/>
      <c r="F19" s="20"/>
      <c r="G19" s="24"/>
    </row>
    <row r="20" spans="1:7" x14ac:dyDescent="0.2">
      <c r="A20" s="4" t="s">
        <v>6</v>
      </c>
      <c r="B20" s="6">
        <v>0.25</v>
      </c>
      <c r="C20" s="4" t="s">
        <v>13</v>
      </c>
      <c r="D20" s="4" t="s">
        <v>13</v>
      </c>
      <c r="E20" s="5" t="s">
        <v>202</v>
      </c>
      <c r="F20" s="5" t="s">
        <v>217</v>
      </c>
      <c r="G20" s="5"/>
    </row>
    <row r="21" spans="1:7" x14ac:dyDescent="0.2">
      <c r="A21" s="4" t="s">
        <v>7</v>
      </c>
      <c r="B21" s="6">
        <v>0.28999999999999998</v>
      </c>
      <c r="C21" s="4" t="s">
        <v>13</v>
      </c>
      <c r="D21" s="4" t="s">
        <v>13</v>
      </c>
      <c r="E21" s="5" t="s">
        <v>203</v>
      </c>
      <c r="F21" s="5" t="s">
        <v>218</v>
      </c>
      <c r="G21" s="5"/>
    </row>
    <row r="22" spans="1:7" x14ac:dyDescent="0.2">
      <c r="A22" s="4" t="s">
        <v>8</v>
      </c>
      <c r="B22" s="6">
        <v>0.21</v>
      </c>
      <c r="C22" s="4" t="s">
        <v>13</v>
      </c>
      <c r="D22" s="4" t="s">
        <v>13</v>
      </c>
      <c r="E22" s="5" t="s">
        <v>204</v>
      </c>
      <c r="F22" s="5" t="s">
        <v>219</v>
      </c>
      <c r="G22" s="5"/>
    </row>
    <row r="23" spans="1:7" x14ac:dyDescent="0.2">
      <c r="A23" s="4" t="s">
        <v>9</v>
      </c>
      <c r="B23" s="6">
        <v>0.67</v>
      </c>
      <c r="C23" s="4" t="s">
        <v>13</v>
      </c>
      <c r="D23" s="4" t="s">
        <v>13</v>
      </c>
      <c r="E23" s="5" t="s">
        <v>205</v>
      </c>
      <c r="F23" s="5" t="s">
        <v>220</v>
      </c>
      <c r="G23" s="5"/>
    </row>
    <row r="24" spans="1:7" x14ac:dyDescent="0.2">
      <c r="A24" s="4" t="s">
        <v>10</v>
      </c>
      <c r="B24" s="6">
        <v>0.08</v>
      </c>
      <c r="C24" s="4" t="s">
        <v>13</v>
      </c>
      <c r="D24" s="4" t="s">
        <v>13</v>
      </c>
      <c r="E24" s="5" t="s">
        <v>206</v>
      </c>
      <c r="F24" s="5" t="s">
        <v>221</v>
      </c>
      <c r="G24" s="5"/>
    </row>
    <row r="25" spans="1:7" x14ac:dyDescent="0.2">
      <c r="A25" s="4" t="s">
        <v>11</v>
      </c>
      <c r="B25" s="6">
        <v>1.03</v>
      </c>
      <c r="C25" s="4" t="s">
        <v>13</v>
      </c>
      <c r="D25" s="4" t="s">
        <v>13</v>
      </c>
      <c r="E25" s="5" t="s">
        <v>207</v>
      </c>
      <c r="F25" s="5" t="s">
        <v>222</v>
      </c>
      <c r="G25" s="5"/>
    </row>
    <row r="26" spans="1:7" x14ac:dyDescent="0.2">
      <c r="A26" s="4" t="s">
        <v>12</v>
      </c>
      <c r="B26" s="6">
        <v>8.98</v>
      </c>
      <c r="C26" s="4" t="s">
        <v>13</v>
      </c>
      <c r="D26" s="4" t="s">
        <v>13</v>
      </c>
      <c r="E26" s="5" t="s">
        <v>208</v>
      </c>
      <c r="F26" s="5" t="s">
        <v>223</v>
      </c>
      <c r="G26" s="5"/>
    </row>
    <row r="27" spans="1:7" x14ac:dyDescent="0.2">
      <c r="A27" s="4" t="s">
        <v>21</v>
      </c>
      <c r="B27" s="6">
        <v>20.21</v>
      </c>
      <c r="C27" s="4" t="s">
        <v>13</v>
      </c>
      <c r="D27" s="4" t="s">
        <v>13</v>
      </c>
      <c r="E27" s="5" t="s">
        <v>237</v>
      </c>
      <c r="F27" s="5" t="s">
        <v>224</v>
      </c>
      <c r="G27" s="5"/>
    </row>
    <row r="28" spans="1:7" x14ac:dyDescent="0.2">
      <c r="A28" s="7" t="s">
        <v>22</v>
      </c>
      <c r="B28" s="8">
        <v>4.49</v>
      </c>
      <c r="C28" s="7" t="s">
        <v>13</v>
      </c>
      <c r="D28" s="7" t="s">
        <v>13</v>
      </c>
      <c r="E28" s="9" t="s">
        <v>238</v>
      </c>
      <c r="F28" s="9" t="s">
        <v>225</v>
      </c>
      <c r="G28" s="5"/>
    </row>
    <row r="29" spans="1:7" x14ac:dyDescent="0.2">
      <c r="G29" s="5"/>
    </row>
  </sheetData>
  <mergeCells count="8">
    <mergeCell ref="A1:A2"/>
    <mergeCell ref="B1:B2"/>
    <mergeCell ref="C1:D1"/>
    <mergeCell ref="E1:F1"/>
    <mergeCell ref="A10:F10"/>
    <mergeCell ref="A3:F3"/>
    <mergeCell ref="A16:F16"/>
    <mergeCell ref="A19:F19"/>
  </mergeCells>
  <pageMargins left="0.7" right="0.7" top="0.75" bottom="0.75" header="0.3" footer="0.3"/>
  <pageSetup paperSize="11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8"/>
  <sheetViews>
    <sheetView showGridLines="0" topLeftCell="A9" zoomScale="70" zoomScaleNormal="70" workbookViewId="0">
      <selection activeCell="I26" sqref="I26:I27"/>
    </sheetView>
  </sheetViews>
  <sheetFormatPr baseColWidth="10" defaultRowHeight="15" x14ac:dyDescent="0.25"/>
  <cols>
    <col min="1" max="1" width="29.85546875" customWidth="1"/>
    <col min="9" max="9" width="20.7109375" bestFit="1" customWidth="1"/>
  </cols>
  <sheetData>
    <row r="1" spans="1:14" ht="24.75" thickTop="1" x14ac:dyDescent="0.25">
      <c r="A1" s="31" t="s">
        <v>167</v>
      </c>
      <c r="B1" s="31"/>
      <c r="C1" s="31"/>
      <c r="D1" s="31"/>
      <c r="E1" s="31"/>
      <c r="F1" s="31"/>
    </row>
    <row r="2" spans="1:14" ht="15.75" thickBot="1" x14ac:dyDescent="0.3">
      <c r="A2" s="32" t="s">
        <v>168</v>
      </c>
      <c r="B2" s="32"/>
      <c r="C2" s="32"/>
      <c r="D2" s="32"/>
      <c r="E2" s="32"/>
      <c r="F2" s="32"/>
    </row>
    <row r="3" spans="1:14" ht="18" thickTop="1" x14ac:dyDescent="0.25">
      <c r="A3" s="33"/>
      <c r="B3" s="35" t="s">
        <v>169</v>
      </c>
      <c r="C3" s="35" t="s">
        <v>170</v>
      </c>
      <c r="D3" s="35" t="s">
        <v>3</v>
      </c>
      <c r="E3" s="37" t="s">
        <v>171</v>
      </c>
      <c r="F3" s="37"/>
    </row>
    <row r="4" spans="1:14" ht="18" thickBot="1" x14ac:dyDescent="0.35">
      <c r="A4" s="34"/>
      <c r="B4" s="36"/>
      <c r="C4" s="36"/>
      <c r="D4" s="36"/>
      <c r="E4" s="26">
        <v>2.5000000000000001E-2</v>
      </c>
      <c r="F4" s="26">
        <v>0.97499999999999998</v>
      </c>
    </row>
    <row r="5" spans="1:14" ht="21" thickBot="1" x14ac:dyDescent="0.3">
      <c r="A5" s="27" t="s">
        <v>172</v>
      </c>
      <c r="B5" s="28">
        <v>6.2</v>
      </c>
      <c r="C5" s="28">
        <v>1.99</v>
      </c>
      <c r="D5" s="28">
        <v>5.88</v>
      </c>
      <c r="E5" s="28">
        <v>3.32</v>
      </c>
      <c r="F5" s="28">
        <v>11.09</v>
      </c>
      <c r="I5" t="str">
        <f>D5&amp;" ["&amp;E5&amp;", "&amp;F5&amp;"]"</f>
        <v>5.88 [3.32, 11.09]</v>
      </c>
    </row>
    <row r="6" spans="1:14" ht="21" thickBot="1" x14ac:dyDescent="0.3">
      <c r="A6" s="27" t="s">
        <v>173</v>
      </c>
      <c r="B6" s="28">
        <v>11.2</v>
      </c>
      <c r="C6" s="28">
        <v>4.1100000000000003</v>
      </c>
      <c r="D6" s="28">
        <v>10.39</v>
      </c>
      <c r="E6" s="28">
        <v>5.8</v>
      </c>
      <c r="F6" s="28">
        <v>21.74</v>
      </c>
      <c r="I6" t="str">
        <f t="shared" ref="I6:I27" si="0">D6&amp;" ["&amp;E6&amp;", "&amp;F6&amp;"]"</f>
        <v>10.39 [5.8, 21.74]</v>
      </c>
    </row>
    <row r="7" spans="1:14" ht="21" thickBot="1" x14ac:dyDescent="0.3">
      <c r="A7" s="27" t="s">
        <v>174</v>
      </c>
      <c r="B7" s="28">
        <v>46.46</v>
      </c>
      <c r="C7" s="28">
        <v>3.03</v>
      </c>
      <c r="D7" s="28">
        <v>46.49</v>
      </c>
      <c r="E7" s="28">
        <v>40.270000000000003</v>
      </c>
      <c r="F7" s="28">
        <v>52.39</v>
      </c>
      <c r="I7" t="str">
        <f t="shared" si="0"/>
        <v>46.49 [40.27, 52.39]</v>
      </c>
    </row>
    <row r="8" spans="1:14" ht="21" thickBot="1" x14ac:dyDescent="0.3">
      <c r="A8" s="27" t="s">
        <v>175</v>
      </c>
      <c r="B8" s="28">
        <v>71.53</v>
      </c>
      <c r="C8" s="28">
        <v>36.54</v>
      </c>
      <c r="D8" s="28">
        <v>60.3</v>
      </c>
      <c r="E8" s="28">
        <v>36.83</v>
      </c>
      <c r="F8" s="28">
        <v>192.86</v>
      </c>
      <c r="I8" t="str">
        <f t="shared" si="0"/>
        <v>60.3 [36.83, 192.86]</v>
      </c>
    </row>
    <row r="9" spans="1:14" ht="21" thickBot="1" x14ac:dyDescent="0.3">
      <c r="A9" s="27" t="s">
        <v>176</v>
      </c>
      <c r="B9" s="28">
        <v>0.14000000000000001</v>
      </c>
      <c r="C9" s="28">
        <v>0.37</v>
      </c>
      <c r="D9" s="28">
        <v>0.17</v>
      </c>
      <c r="E9" s="28" t="s">
        <v>177</v>
      </c>
      <c r="F9" s="28">
        <v>0.77</v>
      </c>
      <c r="I9" t="str">
        <f t="shared" si="0"/>
        <v>0.17 [−0.62, 0.77]</v>
      </c>
    </row>
    <row r="10" spans="1:14" ht="21" thickBot="1" x14ac:dyDescent="0.3">
      <c r="A10" s="27" t="s">
        <v>71</v>
      </c>
      <c r="B10" s="28">
        <v>0.81</v>
      </c>
      <c r="C10" s="28">
        <v>0.44</v>
      </c>
      <c r="D10" s="28">
        <v>0.81</v>
      </c>
      <c r="E10" s="28" t="s">
        <v>178</v>
      </c>
      <c r="F10" s="28">
        <v>1.72</v>
      </c>
      <c r="I10" t="str">
        <f t="shared" si="0"/>
        <v>0.81 [−0.06, 1.72]</v>
      </c>
    </row>
    <row r="11" spans="1:14" ht="21" thickBot="1" x14ac:dyDescent="0.3">
      <c r="A11" s="27" t="s">
        <v>77</v>
      </c>
      <c r="B11" s="28">
        <v>0.54</v>
      </c>
      <c r="C11" s="28">
        <v>0.28999999999999998</v>
      </c>
      <c r="D11" s="28">
        <v>0.55000000000000004</v>
      </c>
      <c r="E11" s="28" t="s">
        <v>178</v>
      </c>
      <c r="F11" s="28">
        <v>1.0900000000000001</v>
      </c>
      <c r="I11" t="str">
        <f t="shared" si="0"/>
        <v>0.55 [−0.06, 1.09]</v>
      </c>
    </row>
    <row r="12" spans="1:14" ht="21" thickBot="1" x14ac:dyDescent="0.3">
      <c r="A12" s="27" t="s">
        <v>179</v>
      </c>
      <c r="B12" s="28">
        <v>0.23</v>
      </c>
      <c r="C12" s="28">
        <v>7.0000000000000007E-2</v>
      </c>
      <c r="D12" s="28">
        <v>0.22</v>
      </c>
      <c r="E12" s="28">
        <v>0.13</v>
      </c>
      <c r="F12" s="28">
        <v>0.38</v>
      </c>
      <c r="I12" t="str">
        <f t="shared" si="0"/>
        <v>0.22 [0.13, 0.38]</v>
      </c>
      <c r="J12">
        <f>ROUND(coeficienteVariacion(D12)*100,1)</f>
        <v>22.3</v>
      </c>
      <c r="K12">
        <f t="shared" ref="K12:L15" si="1">ROUND(coeficienteVariacion(E12)*100,1)</f>
        <v>13.1</v>
      </c>
      <c r="L12">
        <f t="shared" si="1"/>
        <v>39.4</v>
      </c>
      <c r="N12" t="str">
        <f>J12&amp;" ["&amp;K12&amp;", "&amp;L12&amp;"]"</f>
        <v>22.3 [13.1, 39.4]</v>
      </c>
    </row>
    <row r="13" spans="1:14" ht="21" thickBot="1" x14ac:dyDescent="0.3">
      <c r="A13" s="27" t="s">
        <v>180</v>
      </c>
      <c r="B13" s="28">
        <v>0.88</v>
      </c>
      <c r="C13" s="28">
        <v>0.33</v>
      </c>
      <c r="D13" s="28">
        <v>0.88</v>
      </c>
      <c r="E13" s="28">
        <v>0.2</v>
      </c>
      <c r="F13" s="28">
        <v>1.57</v>
      </c>
      <c r="I13" t="str">
        <f t="shared" si="0"/>
        <v>0.88 [0.2, 1.57]</v>
      </c>
      <c r="J13">
        <f t="shared" ref="J12:J14" si="2">ROUND(coeficienteVariacion(D13)*100,1)</f>
        <v>108.1</v>
      </c>
      <c r="K13">
        <f t="shared" si="1"/>
        <v>20.2</v>
      </c>
      <c r="L13">
        <f t="shared" si="1"/>
        <v>328.1</v>
      </c>
      <c r="N13" t="str">
        <f t="shared" ref="N13:N15" si="3">J13&amp;" ["&amp;K13&amp;", "&amp;L13&amp;"]"</f>
        <v>108.1 [20.2, 328.1]</v>
      </c>
    </row>
    <row r="14" spans="1:14" ht="21" thickBot="1" x14ac:dyDescent="0.3">
      <c r="A14" s="27" t="s">
        <v>181</v>
      </c>
      <c r="B14" s="28">
        <v>0.11</v>
      </c>
      <c r="C14" s="28">
        <v>7.0000000000000007E-2</v>
      </c>
      <c r="D14" s="28">
        <v>0.1</v>
      </c>
      <c r="E14" s="28">
        <v>0.01</v>
      </c>
      <c r="F14" s="28">
        <v>0.28000000000000003</v>
      </c>
      <c r="I14" t="str">
        <f t="shared" si="0"/>
        <v>0.1 [0.01, 0.28]</v>
      </c>
      <c r="J14">
        <f t="shared" si="2"/>
        <v>10</v>
      </c>
      <c r="K14">
        <f t="shared" si="1"/>
        <v>1</v>
      </c>
      <c r="L14">
        <f t="shared" si="1"/>
        <v>28.6</v>
      </c>
      <c r="N14" t="str">
        <f t="shared" si="3"/>
        <v>10 [1, 28.6]</v>
      </c>
    </row>
    <row r="15" spans="1:14" ht="21" thickBot="1" x14ac:dyDescent="0.3">
      <c r="A15" s="27" t="s">
        <v>182</v>
      </c>
      <c r="B15" s="28">
        <v>0.4</v>
      </c>
      <c r="C15" s="28">
        <v>0.37</v>
      </c>
      <c r="D15" s="28">
        <v>0.28000000000000003</v>
      </c>
      <c r="E15" s="28">
        <v>0.03</v>
      </c>
      <c r="F15" s="28">
        <v>1.38</v>
      </c>
      <c r="I15" t="str">
        <f t="shared" si="0"/>
        <v>0.28 [0.03, 1.38]</v>
      </c>
      <c r="J15">
        <f>ROUND(coeficienteVariacion(D15)*100,1)</f>
        <v>28.6</v>
      </c>
      <c r="K15">
        <f t="shared" si="1"/>
        <v>3</v>
      </c>
      <c r="L15">
        <f t="shared" si="1"/>
        <v>239.1</v>
      </c>
      <c r="N15" t="str">
        <f t="shared" si="3"/>
        <v>28.6 [3, 239.1]</v>
      </c>
    </row>
    <row r="16" spans="1:14" ht="21" thickBot="1" x14ac:dyDescent="0.3">
      <c r="A16" s="27" t="s">
        <v>49</v>
      </c>
      <c r="B16" s="28">
        <v>0.28999999999999998</v>
      </c>
      <c r="C16" s="28">
        <v>0.03</v>
      </c>
      <c r="D16" s="28">
        <v>0.28999999999999998</v>
      </c>
      <c r="E16" s="28">
        <v>0.24</v>
      </c>
      <c r="F16" s="28">
        <v>0.34</v>
      </c>
      <c r="I16" t="str">
        <f t="shared" si="0"/>
        <v>0.29 [0.24, 0.34]</v>
      </c>
    </row>
    <row r="17" spans="1:9" ht="21" thickBot="1" x14ac:dyDescent="0.3">
      <c r="A17" s="27" t="s">
        <v>51</v>
      </c>
      <c r="B17" s="28">
        <v>0.1</v>
      </c>
      <c r="C17" s="28">
        <v>0.01</v>
      </c>
      <c r="D17" s="28">
        <v>0.1</v>
      </c>
      <c r="E17" s="28">
        <v>0.08</v>
      </c>
      <c r="F17" s="28">
        <v>0.13</v>
      </c>
      <c r="I17" t="str">
        <f t="shared" si="0"/>
        <v>0.1 [0.08, 0.13]</v>
      </c>
    </row>
    <row r="18" spans="1:9" ht="21" thickBot="1" x14ac:dyDescent="0.3">
      <c r="A18" s="29" t="s">
        <v>183</v>
      </c>
      <c r="B18" s="30">
        <v>0.14000000000000001</v>
      </c>
      <c r="C18" s="30">
        <v>0.37</v>
      </c>
      <c r="D18" s="30">
        <v>0.17</v>
      </c>
      <c r="E18" s="30" t="s">
        <v>177</v>
      </c>
      <c r="F18" s="30">
        <v>0.77</v>
      </c>
      <c r="I18" t="str">
        <f t="shared" si="0"/>
        <v>0.17 [−0.62, 0.77]</v>
      </c>
    </row>
    <row r="19" spans="1:9" ht="21.75" thickTop="1" thickBot="1" x14ac:dyDescent="0.3">
      <c r="A19" s="39" t="s">
        <v>53</v>
      </c>
      <c r="B19" s="40">
        <v>0.13</v>
      </c>
      <c r="C19" s="40">
        <v>0.04</v>
      </c>
      <c r="D19" s="40">
        <v>0.13</v>
      </c>
      <c r="E19" s="40">
        <v>7.0000000000000007E-2</v>
      </c>
      <c r="F19" s="40">
        <v>0.25</v>
      </c>
      <c r="I19" t="str">
        <f t="shared" si="0"/>
        <v>0.13 [0.07, 0.25]</v>
      </c>
    </row>
    <row r="20" spans="1:9" ht="21" thickBot="1" x14ac:dyDescent="0.3">
      <c r="A20" s="27" t="s">
        <v>54</v>
      </c>
      <c r="B20" s="28">
        <v>0.24</v>
      </c>
      <c r="C20" s="28">
        <v>0.1</v>
      </c>
      <c r="D20" s="28">
        <v>0.22</v>
      </c>
      <c r="E20" s="28">
        <v>0.12</v>
      </c>
      <c r="F20" s="28">
        <v>0.5</v>
      </c>
      <c r="I20" t="str">
        <f t="shared" si="0"/>
        <v>0.22 [0.12, 0.5]</v>
      </c>
    </row>
    <row r="21" spans="1:9" ht="21" thickBot="1" x14ac:dyDescent="0.3">
      <c r="A21" s="27" t="s">
        <v>55</v>
      </c>
      <c r="B21" s="28">
        <v>0.1</v>
      </c>
      <c r="C21" s="28">
        <v>0.05</v>
      </c>
      <c r="D21" s="28">
        <v>0.1</v>
      </c>
      <c r="E21" s="28">
        <v>0.02</v>
      </c>
      <c r="F21" s="28">
        <v>0.22</v>
      </c>
      <c r="I21" t="str">
        <f t="shared" si="0"/>
        <v>0.1 [0.02, 0.22]</v>
      </c>
    </row>
    <row r="22" spans="1:9" ht="21" thickBot="1" x14ac:dyDescent="0.3">
      <c r="A22" s="27" t="s">
        <v>56</v>
      </c>
      <c r="B22" s="28">
        <v>0.45</v>
      </c>
      <c r="C22" s="28">
        <v>0.14000000000000001</v>
      </c>
      <c r="D22" s="28">
        <v>0.42</v>
      </c>
      <c r="E22" s="28">
        <v>0.26</v>
      </c>
      <c r="F22" s="28">
        <v>0.79</v>
      </c>
      <c r="I22" t="str">
        <f t="shared" si="0"/>
        <v>0.42 [0.26, 0.79]</v>
      </c>
    </row>
    <row r="23" spans="1:9" ht="21" thickBot="1" x14ac:dyDescent="0.3">
      <c r="A23" s="27" t="s">
        <v>57</v>
      </c>
      <c r="B23" s="28">
        <v>0.03</v>
      </c>
      <c r="C23" s="28">
        <v>0.02</v>
      </c>
      <c r="D23" s="28">
        <v>0.03</v>
      </c>
      <c r="E23" s="28">
        <v>0.01</v>
      </c>
      <c r="F23" s="28">
        <v>0.08</v>
      </c>
      <c r="I23" t="str">
        <f t="shared" si="0"/>
        <v>0.03 [0.01, 0.08]</v>
      </c>
    </row>
    <row r="24" spans="1:9" ht="21" thickBot="1" x14ac:dyDescent="0.3">
      <c r="A24" s="27" t="s">
        <v>58</v>
      </c>
      <c r="B24" s="28">
        <v>1.67</v>
      </c>
      <c r="C24" s="28">
        <v>0.46</v>
      </c>
      <c r="D24" s="28">
        <v>1.63</v>
      </c>
      <c r="E24" s="28">
        <v>0.88</v>
      </c>
      <c r="F24" s="28">
        <v>2.65</v>
      </c>
      <c r="I24" t="str">
        <f t="shared" si="0"/>
        <v>1.63 [0.88, 2.65]</v>
      </c>
    </row>
    <row r="25" spans="1:9" ht="21" thickBot="1" x14ac:dyDescent="0.3">
      <c r="A25" s="27" t="s">
        <v>59</v>
      </c>
      <c r="B25" s="28">
        <v>31.96</v>
      </c>
      <c r="C25" s="28">
        <v>27.24</v>
      </c>
      <c r="D25" s="28">
        <v>24.55</v>
      </c>
      <c r="E25" s="28">
        <v>8.32</v>
      </c>
      <c r="F25" s="28">
        <v>107.18</v>
      </c>
      <c r="I25" t="str">
        <f t="shared" si="0"/>
        <v>24.55 [8.32, 107.18]</v>
      </c>
    </row>
    <row r="26" spans="1:9" ht="21" thickBot="1" x14ac:dyDescent="0.3">
      <c r="A26" s="27" t="s">
        <v>60</v>
      </c>
      <c r="B26" s="28">
        <v>17.989999999999998</v>
      </c>
      <c r="C26" s="28">
        <v>1.67</v>
      </c>
      <c r="D26" s="28">
        <v>17.98</v>
      </c>
      <c r="E26" s="28">
        <v>14.75</v>
      </c>
      <c r="F26" s="28">
        <v>21.37</v>
      </c>
      <c r="I26" t="str">
        <f t="shared" si="0"/>
        <v>17.98 [14.75, 21.37]</v>
      </c>
    </row>
    <row r="27" spans="1:9" ht="21" thickBot="1" x14ac:dyDescent="0.3">
      <c r="A27" s="29" t="s">
        <v>62</v>
      </c>
      <c r="B27" s="30">
        <v>3.63</v>
      </c>
      <c r="C27" s="30">
        <v>1.27</v>
      </c>
      <c r="D27" s="30">
        <v>3.63</v>
      </c>
      <c r="E27" s="30">
        <v>1.1299999999999999</v>
      </c>
      <c r="F27" s="30">
        <v>6.2</v>
      </c>
      <c r="I27" t="str">
        <f t="shared" si="0"/>
        <v>3.63 [1.13, 6.2]</v>
      </c>
    </row>
    <row r="28" spans="1:9" ht="15.75" thickTop="1" x14ac:dyDescent="0.25"/>
  </sheetData>
  <mergeCells count="7">
    <mergeCell ref="A1:F1"/>
    <mergeCell ref="A2:F2"/>
    <mergeCell ref="A3:A4"/>
    <mergeCell ref="B3:B4"/>
    <mergeCell ref="C3:C4"/>
    <mergeCell ref="D3:D4"/>
    <mergeCell ref="E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Tabla</vt:lpstr>
      <vt:lpstr>mFinal</vt:lpstr>
      <vt:lpstr>Bayesiano</vt:lpstr>
      <vt:lpstr>mFinal!Área_de_impresión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Parra G.</dc:creator>
  <cp:lastModifiedBy>Daniel S. Parra G.</cp:lastModifiedBy>
  <dcterms:created xsi:type="dcterms:W3CDTF">2020-08-19T18:57:31Z</dcterms:created>
  <dcterms:modified xsi:type="dcterms:W3CDTF">2021-03-21T04:33:01Z</dcterms:modified>
</cp:coreProperties>
</file>