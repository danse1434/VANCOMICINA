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s\(Proyecto)_Estudio_PKPD\VANCOMICINA\03_RESIDUAL\"/>
    </mc:Choice>
  </mc:AlternateContent>
  <bookViews>
    <workbookView xWindow="0" yWindow="0" windowWidth="20490" windowHeight="7605" activeTab="4"/>
  </bookViews>
  <sheets>
    <sheet name="main" sheetId="1" r:id="rId1"/>
    <sheet name="NOBS1" sheetId="2" r:id="rId2"/>
    <sheet name="nobs_1" sheetId="4" r:id="rId3"/>
    <sheet name="NOBS2" sheetId="3" r:id="rId4"/>
    <sheet name="nobs_2" sheetId="6" r:id="rId5"/>
  </sheets>
  <functionGroups builtInGroupCount="18"/>
  <definedNames>
    <definedName name="_xlnm._FilterDatabase" localSheetId="2" hidden="1">nobs_1!$A$2:$E$15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  <c r="H15" i="2"/>
  <c r="I15" i="2"/>
  <c r="G17" i="2"/>
  <c r="H17" i="2"/>
  <c r="I17" i="2"/>
  <c r="G19" i="2"/>
  <c r="H19" i="2"/>
  <c r="I19" i="2"/>
  <c r="G21" i="2"/>
  <c r="H21" i="2"/>
  <c r="I21" i="2"/>
  <c r="G24" i="2"/>
  <c r="H24" i="2"/>
  <c r="I24" i="2"/>
  <c r="G26" i="2"/>
  <c r="H26" i="2"/>
  <c r="I26" i="2"/>
  <c r="G28" i="2"/>
  <c r="H28" i="2"/>
  <c r="I28" i="2"/>
  <c r="G30" i="2"/>
  <c r="H30" i="2"/>
  <c r="I30" i="2"/>
  <c r="G33" i="2"/>
  <c r="H33" i="2"/>
  <c r="I33" i="2"/>
  <c r="G35" i="2"/>
  <c r="H35" i="2"/>
  <c r="I35" i="2"/>
  <c r="L17" i="3" l="1"/>
  <c r="L19" i="3"/>
  <c r="L21" i="3"/>
  <c r="L24" i="3"/>
  <c r="L26" i="3"/>
  <c r="L28" i="3"/>
  <c r="L30" i="3"/>
  <c r="L33" i="3"/>
  <c r="L35" i="3"/>
  <c r="L37" i="3"/>
  <c r="L39" i="3"/>
  <c r="L15" i="3"/>
  <c r="K39" i="3"/>
  <c r="J39" i="3"/>
  <c r="I39" i="3"/>
  <c r="H39" i="3"/>
  <c r="K37" i="3"/>
  <c r="J37" i="3"/>
  <c r="I37" i="3"/>
  <c r="H37" i="3"/>
  <c r="K35" i="3"/>
  <c r="J35" i="3"/>
  <c r="I35" i="3"/>
  <c r="H35" i="3"/>
  <c r="K33" i="3"/>
  <c r="J33" i="3"/>
  <c r="I33" i="3"/>
  <c r="H33" i="3"/>
  <c r="K30" i="3"/>
  <c r="J30" i="3"/>
  <c r="I30" i="3"/>
  <c r="H30" i="3"/>
  <c r="K28" i="3"/>
  <c r="J28" i="3"/>
  <c r="I28" i="3"/>
  <c r="H28" i="3"/>
  <c r="K26" i="3"/>
  <c r="J26" i="3"/>
  <c r="I26" i="3"/>
  <c r="H26" i="3"/>
  <c r="K24" i="3"/>
  <c r="J24" i="3"/>
  <c r="I24" i="3"/>
  <c r="H24" i="3"/>
  <c r="K21" i="3"/>
  <c r="J21" i="3"/>
  <c r="I21" i="3"/>
  <c r="H21" i="3"/>
  <c r="K19" i="3"/>
  <c r="J19" i="3"/>
  <c r="I19" i="3"/>
  <c r="H19" i="3"/>
  <c r="K17" i="3"/>
  <c r="J17" i="3"/>
  <c r="I17" i="3"/>
  <c r="H17" i="3"/>
  <c r="J15" i="3"/>
  <c r="K15" i="3"/>
  <c r="H15" i="3"/>
  <c r="I15" i="3"/>
  <c r="J35" i="2"/>
  <c r="J33" i="2"/>
  <c r="J30" i="2"/>
  <c r="J28" i="2"/>
  <c r="J26" i="2"/>
  <c r="J24" i="2"/>
  <c r="J21" i="2"/>
  <c r="J19" i="2"/>
  <c r="J17" i="2"/>
  <c r="J15" i="2"/>
</calcChain>
</file>

<file path=xl/sharedStrings.xml><?xml version="1.0" encoding="utf-8"?>
<sst xmlns="http://schemas.openxmlformats.org/spreadsheetml/2006/main" count="842" uniqueCount="302">
  <si>
    <t>Project Name</t>
  </si>
  <si>
    <t>m1cptm_nobs0</t>
  </si>
  <si>
    <t>m1cptm_nobs1</t>
  </si>
  <si>
    <t>m1cptm_nobs2</t>
  </si>
  <si>
    <t>m2cptm_nobs0</t>
  </si>
  <si>
    <t>m2cptm_nobs1</t>
  </si>
  <si>
    <t>m2cptm_nobs2</t>
  </si>
  <si>
    <t>m3cptm_nobs0</t>
  </si>
  <si>
    <t>m3cptm_nobs1</t>
  </si>
  <si>
    <t>m3cptm_nobs2</t>
  </si>
  <si>
    <t>m2cptm_nobs1_aditv</t>
  </si>
  <si>
    <t>m2cptm_nobs1_comb1</t>
  </si>
  <si>
    <t>m2cptm_nobs1_comb2</t>
  </si>
  <si>
    <t>m2cptm_nobs1_prop</t>
  </si>
  <si>
    <t>m2cptm_nobs2_aditv</t>
  </si>
  <si>
    <t>m2cptm_nobs2_comb1</t>
  </si>
  <si>
    <t>m2cptm_nobs2_comb2</t>
  </si>
  <si>
    <t>m2cptm_nobs2_combP</t>
  </si>
  <si>
    <t>m2cptm_nobs2_prop</t>
  </si>
  <si>
    <t>Rating</t>
  </si>
  <si>
    <t>Comments</t>
  </si>
  <si>
    <t>Modelo de 1CPTM con observaciones del metodo microbiologico</t>
  </si>
  <si>
    <t>Modelo de 1CPTM con observaciones del metodo de quimioluminiscencia</t>
  </si>
  <si>
    <t>Modelo de 1CPTM con observaciones del metodo de quimioluminiscencia y microbiologico</t>
  </si>
  <si>
    <t>Modelo de 2CPTM con observaciones del metodo microbiologico</t>
  </si>
  <si>
    <t>Modelo de 2CPTM con observaciones del metodo de quimioluminiscencia</t>
  </si>
  <si>
    <t>Modelo de 2CPTM con observaciones del metodo de quimioluminiscencia y microbiologico</t>
  </si>
  <si>
    <t>Modelo de 3CPTM con observaciones del metodo microbiologico</t>
  </si>
  <si>
    <t>Modelo de 3CPTM con observaciones del metodo de quimioluminiscencia</t>
  </si>
  <si>
    <t>Modelo de 3CPTM con observaciones del metodo de quimioluminiscencia y microbiologico</t>
  </si>
  <si>
    <t>**Modelo de 2CPTM con observaciones del metodo de quimioluminiscencia** - Modelo Error Aditivo</t>
  </si>
  <si>
    <t>Modelo de 2CPTM con observaciones del metodo de quimioluminiscencia - Modelo de Error Combinado 1</t>
  </si>
  <si>
    <t>**Modelo de 2CPTM con observaciones del metodo de quimioluminiscencia** - Modelo de Error Combinado 2</t>
  </si>
  <si>
    <t>Modelo de 2CPTM con observaciones del metodo de quimioluminiscencia - Modelo de Error Proporcional</t>
  </si>
  <si>
    <t>**Modelo de 2CPTM con observaciones del metodo de quimioluminiscencia y microbiologico** - Modelo de Error Aditivo</t>
  </si>
  <si>
    <t>**Modelo de 2CPTM con observaciones del metodo de quimioluminiscencia y microbiologico** - Modelo de Error Combinado 1</t>
  </si>
  <si>
    <t>**Modelo de 2CPTM con observaciones del metodo de quimioluminiscencia y microbiologico** - Modelo de Error Combinado 2</t>
  </si>
  <si>
    <t>**Modelo de 2CPTM con observaciones del metodo de quimioluminiscencia y microbiologico** - Modelo de Error Proporcional</t>
  </si>
  <si>
    <t>SAEM</t>
  </si>
  <si>
    <t>Likelihood results</t>
  </si>
  <si>
    <t>-2*LL (Linearization)</t>
  </si>
  <si>
    <t>BICc (Linearization)</t>
  </si>
  <si>
    <t>-2*LL (Importance sampling)</t>
  </si>
  <si>
    <t>BICc (Importance sampling)</t>
  </si>
  <si>
    <t>Fisher tasks</t>
  </si>
  <si>
    <t>Linearization</t>
  </si>
  <si>
    <t>Stochastic approximation</t>
  </si>
  <si>
    <t>Fixed effects</t>
  </si>
  <si>
    <t>S.A.</t>
  </si>
  <si>
    <t>V_pop</t>
  </si>
  <si>
    <t>Cl_pop</t>
  </si>
  <si>
    <t>f_pop</t>
  </si>
  <si>
    <t>V1_pop</t>
  </si>
  <si>
    <t>Q_pop</t>
  </si>
  <si>
    <t>V2_pop</t>
  </si>
  <si>
    <t>Q2_pop</t>
  </si>
  <si>
    <t>Q3_pop</t>
  </si>
  <si>
    <t>V3_pop</t>
  </si>
  <si>
    <t>Standard deviation</t>
  </si>
  <si>
    <t>omega_Cl</t>
  </si>
  <si>
    <t>omega_V</t>
  </si>
  <si>
    <t>omega_f</t>
  </si>
  <si>
    <t>omega_Q</t>
  </si>
  <si>
    <t>omega_V1</t>
  </si>
  <si>
    <t>omega_V2</t>
  </si>
  <si>
    <t>omega_Q2</t>
  </si>
  <si>
    <t>omega_Q3</t>
  </si>
  <si>
    <t>omega_V3</t>
  </si>
  <si>
    <t>Residual error parameters</t>
  </si>
  <si>
    <t>a</t>
  </si>
  <si>
    <t>a1</t>
  </si>
  <si>
    <t>a2</t>
  </si>
  <si>
    <t>b</t>
  </si>
  <si>
    <t>b1</t>
  </si>
  <si>
    <t>b2</t>
  </si>
  <si>
    <t>Settings</t>
  </si>
  <si>
    <t>Minimum number of iterations (exploratoryinterval)</t>
  </si>
  <si>
    <t>Maximum number of iterations (exploratoryautostop)</t>
  </si>
  <si>
    <t>Maximum number of iterations (smoothingautostop)</t>
  </si>
  <si>
    <t>simulatedannealingiterations</t>
  </si>
  <si>
    <t>Minimum number of iterations (smoothinginterval)</t>
  </si>
  <si>
    <t>Decreasing rate (variance of the residual errors)</t>
  </si>
  <si>
    <t>Decreasing rate (variance of the individual parameters)</t>
  </si>
  <si>
    <t>Number of iterations</t>
  </si>
  <si>
    <t>Figures</t>
  </si>
  <si>
    <t>PNG</t>
  </si>
  <si>
    <t>condmeanresults__0_0.png</t>
  </si>
  <si>
    <t>covariancemodeldiagnosis__0_0.png</t>
  </si>
  <si>
    <t>fisher__0_0.png</t>
  </si>
  <si>
    <t>indfits_y1_0_0.png</t>
  </si>
  <si>
    <t>indfits_y1_0_1.png</t>
  </si>
  <si>
    <t>likelihoodcontribution__0_0.png</t>
  </si>
  <si>
    <t>likelihoodresults__0_0.png</t>
  </si>
  <si>
    <t>npc_y1_0_0.png</t>
  </si>
  <si>
    <t>obspred_y1_0_0.png</t>
  </si>
  <si>
    <t>outputplot_y1_0_0.png</t>
  </si>
  <si>
    <t>parameterdistribution__0_0.png</t>
  </si>
  <si>
    <t>predictiondistribution_y1_0_0.png</t>
  </si>
  <si>
    <t>randomeffects__0_0.png</t>
  </si>
  <si>
    <t>residualsdistribution_y1_0_0.png</t>
  </si>
  <si>
    <t>residualsscatter_y1_0_0.png</t>
  </si>
  <si>
    <t>saemresults__0_0.png</t>
  </si>
  <si>
    <t>vpc_y1_0_0.png</t>
  </si>
  <si>
    <t>indfits_y2_0_0.png</t>
  </si>
  <si>
    <t>indfits_y2_0_1.png</t>
  </si>
  <si>
    <t>npc_y2_0_0.png</t>
  </si>
  <si>
    <t>obspred_y2_0_0.png</t>
  </si>
  <si>
    <t>outputplot_y2_0_0.png</t>
  </si>
  <si>
    <t>predictiondistribution_y2_0_0.png</t>
  </si>
  <si>
    <t>residualsdistribution_y2_0_0.png</t>
  </si>
  <si>
    <t>residualsscatter_y2_0_0.png</t>
  </si>
  <si>
    <t>vpc_y2_0_0.png</t>
  </si>
  <si>
    <t>saemresults__0_1.png</t>
  </si>
  <si>
    <t>condmeanresults__0_1.png</t>
  </si>
  <si>
    <t>Efectos Fijos</t>
  </si>
  <si>
    <t>Efectos Aleatorios</t>
  </si>
  <si>
    <t>Error Residual</t>
  </si>
  <si>
    <t>-</t>
  </si>
  <si>
    <t>Error Aditivo</t>
  </si>
  <si>
    <t>Error Proporcional</t>
  </si>
  <si>
    <t>Error Combinado 1</t>
  </si>
  <si>
    <t>Error Combinado 2</t>
  </si>
  <si>
    <t>Modelo</t>
  </si>
  <si>
    <t>Parámetros</t>
  </si>
  <si>
    <t>Aditivo</t>
  </si>
  <si>
    <t>Proporcional</t>
  </si>
  <si>
    <t>Combinado 1</t>
  </si>
  <si>
    <t>Combinado 2</t>
  </si>
  <si>
    <t>Combinado 1a</t>
  </si>
  <si>
    <t>Criterios de Información</t>
  </si>
  <si>
    <t>M2CPTM_nobs_1_aditv</t>
  </si>
  <si>
    <t>M2CPTM_nobs_1_comb1</t>
  </si>
  <si>
    <t>M2CPTM_nobs_1_comb2</t>
  </si>
  <si>
    <t>M2CPTM_nobs_1_prop</t>
  </si>
  <si>
    <t>Select for reference</t>
  </si>
  <si>
    <t>nbexploratoryiterations</t>
  </si>
  <si>
    <t>nbsmoothingiterations</t>
  </si>
  <si>
    <t>M2CPTM_nobs_2_aditv</t>
  </si>
  <si>
    <t>M2CPTM_nobs_2_comb1</t>
  </si>
  <si>
    <t>M2CPTM_nobs_2_comb2</t>
  </si>
  <si>
    <t>M2CPTM_nobs_2_combP</t>
  </si>
  <si>
    <t>M2CPTM_nobs_2_prop</t>
  </si>
  <si>
    <t>bivariatedataviewer__0_0</t>
  </si>
  <si>
    <t>condmeanresults__0_0</t>
  </si>
  <si>
    <t>covariancemodeldiagnosis__0_0</t>
  </si>
  <si>
    <t>fisher__0_0</t>
  </si>
  <si>
    <t>indfits_y1_0_0</t>
  </si>
  <si>
    <t>indfits_y1_0_1</t>
  </si>
  <si>
    <t>indfits_y2_0_0</t>
  </si>
  <si>
    <t>indfits_y2_0_1</t>
  </si>
  <si>
    <t>likelihoodcontribution__0_0</t>
  </si>
  <si>
    <t>likelihoodresults__0_0</t>
  </si>
  <si>
    <t>npc_y1_0_0</t>
  </si>
  <si>
    <t>npc_y2_0_0</t>
  </si>
  <si>
    <t>$\mathrm{Cl}$ ($\mathrm{L/h}$)</t>
  </si>
  <si>
    <t>$\mathrm{V_1}$ ($\mathrm{L}$)</t>
  </si>
  <si>
    <t>$\mathrm{Q}$ ($\mathrm{L/h}$)</t>
  </si>
  <si>
    <t>$\mathrm{V_2}$ ($\mathrm{L}$)</t>
  </si>
  <si>
    <t>$\omega_{\mathrm{Cl}}$</t>
  </si>
  <si>
    <t>$\omega_{\mathrm{Q}}$</t>
  </si>
  <si>
    <t>$\omega_{\mathrm{V_1}}$</t>
  </si>
  <si>
    <t>$\omega_{\mathrm{V_2}}$</t>
  </si>
  <si>
    <t>$-2\ell$</t>
  </si>
  <si>
    <t>10.29 (7.2/%)</t>
  </si>
  <si>
    <t>10.27 (7.2/%)</t>
  </si>
  <si>
    <t>10.26 (7.1/%)</t>
  </si>
  <si>
    <t>10.21 (7.1/%)</t>
  </si>
  <si>
    <t>40.97 (7.7/%)</t>
  </si>
  <si>
    <t>41.54 (8.3/%)</t>
  </si>
  <si>
    <t>41.19 (8.6/%)</t>
  </si>
  <si>
    <t>43.27 (7.4/%)</t>
  </si>
  <si>
    <t>11.72 (24.2/%)</t>
  </si>
  <si>
    <t>11.14 (25/%)</t>
  </si>
  <si>
    <t>11.26 (25.6/%)</t>
  </si>
  <si>
    <t>9.58 (20.9/%)</t>
  </si>
  <si>
    <t>50.3 (13.1/%)</t>
  </si>
  <si>
    <t>51.8 (20/%)</t>
  </si>
  <si>
    <t>49.35 (15.4/%)</t>
  </si>
  <si>
    <t>57.57 (0/%)</t>
  </si>
  <si>
    <t>0.27 (19.7/%)</t>
  </si>
  <si>
    <t>0.27 (19.5/%)</t>
  </si>
  <si>
    <t>0.26 (19.5/%)</t>
  </si>
  <si>
    <t>0.26 (19.7/%)</t>
  </si>
  <si>
    <t>0.23 (25.5/%)</t>
  </si>
  <si>
    <t>0.23 (24.1/%)</t>
  </si>
  <si>
    <t>0.26 (25.8/%)</t>
  </si>
  <si>
    <t>0.22 (24/%)</t>
  </si>
  <si>
    <t>0.74 (24.8/%)</t>
  </si>
  <si>
    <t>0.72 (28/%)</t>
  </si>
  <si>
    <t>0.7 (26.8/%)</t>
  </si>
  <si>
    <t>0.65 (25.9/%)</t>
  </si>
  <si>
    <t>0.22 (54.5/%)</t>
  </si>
  <si>
    <t>0.19 (277.4/%)</t>
  </si>
  <si>
    <t>0.21 (219.8/%)</t>
  </si>
  <si>
    <t>0.0000072 (96.5/%)</t>
  </si>
  <si>
    <t>0.061 (9.9/%)</t>
  </si>
  <si>
    <t>0.052 (66.1/%)</t>
  </si>
  <si>
    <t>0.055 (36.2/%)</t>
  </si>
  <si>
    <t xml:space="preserve"> (0/%)</t>
  </si>
  <si>
    <t>0.0037 (318.7/%)</t>
  </si>
  <si>
    <t>0.009 (165/%)</t>
  </si>
  <si>
    <t>0.025 (9.5/%)</t>
  </si>
  <si>
    <t>$\mathrm{BICc}$</t>
  </si>
  <si>
    <t>$a$</t>
  </si>
  <si>
    <t>$b$</t>
  </si>
  <si>
    <t>Maximum number of iterations</t>
  </si>
  <si>
    <t>Modelo de Error</t>
  </si>
  <si>
    <t>0.26 (19.8/%)</t>
  </si>
  <si>
    <t>0.31 (7.6/%)</t>
  </si>
  <si>
    <t>0.14 (7.4/%)</t>
  </si>
  <si>
    <t>$a_1$</t>
  </si>
  <si>
    <t>$b_1$</t>
  </si>
  <si>
    <t>$a_2$</t>
  </si>
  <si>
    <t>$b_2$</t>
  </si>
  <si>
    <t>4.55 (11.4/%)</t>
  </si>
  <si>
    <t>5.14 (7.1/%)</t>
  </si>
  <si>
    <t>5.11 (7.1/%)</t>
  </si>
  <si>
    <t>22.61 (8/%)</t>
  </si>
  <si>
    <t>19.88 (9.5/%)</t>
  </si>
  <si>
    <t>20.08 (13.4/%)</t>
  </si>
  <si>
    <t>21.58 (7.4/%)</t>
  </si>
  <si>
    <t>4.85 (15.3/%)</t>
  </si>
  <si>
    <t>6.36 (26.6/%)</t>
  </si>
  <si>
    <t>6.16 (41.2/%)</t>
  </si>
  <si>
    <t>4.8 (20.5/%)</t>
  </si>
  <si>
    <t>66.38 (70.9/%)</t>
  </si>
  <si>
    <t>24.59 (14.1/%)</t>
  </si>
  <si>
    <t>24.48 (17.2/%)</t>
  </si>
  <si>
    <t>27.81 (0/%)</t>
  </si>
  <si>
    <t>0.29 (23.5/%)</t>
  </si>
  <si>
    <t>0.26 (19.3/%)</t>
  </si>
  <si>
    <t>0.26 (19.4/%)</t>
  </si>
  <si>
    <t>0.26 (20.9/%)</t>
  </si>
  <si>
    <t>0.27 (28.6/%)</t>
  </si>
  <si>
    <t>0.26 (38.8/%)</t>
  </si>
  <si>
    <t>0.23 (25.1/%)</t>
  </si>
  <si>
    <t>0.42 (28.8/%)</t>
  </si>
  <si>
    <t>0.74 (27.8/%)</t>
  </si>
  <si>
    <t>0.73 (24.5/%)</t>
  </si>
  <si>
    <t>0.65 (25.5/%)</t>
  </si>
  <si>
    <t>0.92 (43.8/%)</t>
  </si>
  <si>
    <t>0.31 (74.3/%)</t>
  </si>
  <si>
    <t>0.24 (175.5/%)</t>
  </si>
  <si>
    <t>0.000000033 (117.2/%)</t>
  </si>
  <si>
    <t>0.066 (12.6/%)</t>
  </si>
  <si>
    <t>0.054 (47.6/%)</t>
  </si>
  <si>
    <t>0.057 (19/%)</t>
  </si>
  <si>
    <t>0.0013 (741.8/%)</t>
  </si>
  <si>
    <t>0.0041 (0/%)</t>
  </si>
  <si>
    <t>0.025 (9.4/%)</t>
  </si>
  <si>
    <t>5.16 (6.9/%)</t>
  </si>
  <si>
    <t>20.29 (8.7/%)</t>
  </si>
  <si>
    <t>6.18 (23.3/%)</t>
  </si>
  <si>
    <t>23.58 (14.5/%)</t>
  </si>
  <si>
    <t>0.27 (25.3/%)</t>
  </si>
  <si>
    <t>0.68 (25.4/%)</t>
  </si>
  <si>
    <t>0.3 (44.5/%)</t>
  </si>
  <si>
    <t>0.061 (11.5/%)</t>
  </si>
  <si>
    <t>4.39 (9/%)</t>
  </si>
  <si>
    <t>5.14 (7/%)</t>
  </si>
  <si>
    <t>5.13 (7.1/%)</t>
  </si>
  <si>
    <t>5 (104/%)</t>
  </si>
  <si>
    <t>23.06 (7.9/%)</t>
  </si>
  <si>
    <t>21.17 (9.1/%)</t>
  </si>
  <si>
    <t>20.63 (8.6/%)</t>
  </si>
  <si>
    <t>21.95 (85.8/%)</t>
  </si>
  <si>
    <t>4.96 (15.5/%)</t>
  </si>
  <si>
    <t>5.4 (25.8/%)</t>
  </si>
  <si>
    <t>5.88 (22.8/%)</t>
  </si>
  <si>
    <t>5.04 (144.7/%)</t>
  </si>
  <si>
    <t>75.28 (47.3/%)</t>
  </si>
  <si>
    <t>27.46 (23.1/%)</t>
  </si>
  <si>
    <t>25.67 (16.1/%)</t>
  </si>
  <si>
    <t>33.89 (1125/%)</t>
  </si>
  <si>
    <t>0.25 (24.9/%)</t>
  </si>
  <si>
    <t>0.26 (19.6/%)</t>
  </si>
  <si>
    <t>0.26 (62.7/%)</t>
  </si>
  <si>
    <t>0.24 (23.5/%)</t>
  </si>
  <si>
    <t>0.23 (24.9/%)</t>
  </si>
  <si>
    <t>0.25 (24.4/%)</t>
  </si>
  <si>
    <t>0.25 (105/%)</t>
  </si>
  <si>
    <t>0.32 (41.2/%)</t>
  </si>
  <si>
    <t>0.7 (29.9/%)</t>
  </si>
  <si>
    <t>0.66 (26.8/%)</t>
  </si>
  <si>
    <t>0.54 (556.1/%)</t>
  </si>
  <si>
    <t>1.11 (30.7/%)</t>
  </si>
  <si>
    <t>0.22 (175.7/%)</t>
  </si>
  <si>
    <t>0.37 (47/%)</t>
  </si>
  <si>
    <t>0.69 (1952.8/%)</t>
  </si>
  <si>
    <t>0.3 (23.5/%)</t>
  </si>
  <si>
    <t>0.3 (22.4/%)</t>
  </si>
  <si>
    <t>0.017 (195.7/%)</t>
  </si>
  <si>
    <t>0.047 (73.2/%)</t>
  </si>
  <si>
    <t>0.051 (50.9/%)</t>
  </si>
  <si>
    <t>0.14 (7.6/%)</t>
  </si>
  <si>
    <t>0.02 (77.8/%)</t>
  </si>
  <si>
    <t>0.0059 (209.8/%)</t>
  </si>
  <si>
    <t>0.0032 (301/%)</t>
  </si>
  <si>
    <t>0.024 (45.3/%)</t>
  </si>
  <si>
    <t>0 (NE)</t>
  </si>
  <si>
    <t>\of 943.04</t>
  </si>
  <si>
    <t>\of 995.66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</si>
</sst>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33333"/>
      <name val="Arial"/>
      <family val="2"/>
    </font>
    <font>
      <b/>
      <sz val="9"/>
      <color rgb="FFFF912C"/>
      <name val="Font Awesome 5 Pro"/>
    </font>
    <font>
      <b/>
      <sz val="9"/>
      <color rgb="FFCCCCCC"/>
      <name val="Font Awesome 5 Pro"/>
    </font>
    <font>
      <sz val="9"/>
      <color rgb="FF333333"/>
      <name val="Courier New"/>
      <family val="3"/>
    </font>
    <font>
      <b/>
      <sz val="9"/>
      <color rgb="FF333333"/>
      <name val="Arial"/>
      <family val="2"/>
    </font>
    <font>
      <sz val="9"/>
      <color rgb="FF59B75C"/>
      <name val="Arial"/>
      <family val="2"/>
    </font>
    <font>
      <sz val="9"/>
      <color rgb="FF222222"/>
      <name val="Courier New"/>
      <family val="3"/>
    </font>
    <font>
      <b/>
      <sz val="9"/>
      <color rgb="FFFFFFFF"/>
      <name val="Segoe UI"/>
      <family val="2"/>
    </font>
    <font>
      <sz val="9"/>
      <color theme="1"/>
      <name val="Calibri"/>
      <family val="2"/>
      <scheme val="minor"/>
    </font>
    <font>
      <sz val="9"/>
      <color rgb="FFFFFFFF"/>
      <name val="Segoe UI"/>
      <family val="2"/>
    </font>
    <font>
      <sz val="9"/>
      <color rgb="FF222222"/>
      <name val="Segoe UI"/>
      <family val="2"/>
    </font>
    <font>
      <b/>
      <sz val="9"/>
      <color rgb="FFCCCCCC"/>
      <name val="Font Awesome 5 Pro"/>
    </font>
    <font>
      <b/>
      <sz val="9"/>
      <color rgb="FFFF912C"/>
      <name val="Font Awesome 5 Pro"/>
    </font>
    <font>
      <sz val="9"/>
      <color rgb="FF59B75C"/>
      <name val="Segoe UI"/>
      <family val="2"/>
    </font>
    <font>
      <b/>
      <sz val="9"/>
      <color rgb="FFFFFFFF"/>
      <name val="Calibri"/>
      <family val="2"/>
      <scheme val="minor"/>
    </font>
    <font>
      <sz val="9"/>
      <color rgb="FFFFFFFF"/>
      <name val="Calibri"/>
      <family val="2"/>
      <scheme val="minor"/>
    </font>
    <font>
      <sz val="9"/>
      <color rgb="FF222222"/>
      <name val="Calibri"/>
      <family val="2"/>
      <scheme val="minor"/>
    </font>
    <font>
      <sz val="9"/>
      <color rgb="FF59B75C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99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555555"/>
        <bgColor indexed="64"/>
      </patternFill>
    </fill>
  </fills>
  <borders count="17">
    <border>
      <left/>
      <right/>
      <top/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/>
      <right/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 style="medium">
        <color rgb="FFDEE2E6"/>
      </left>
      <right/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vertical="top" wrapText="1"/>
    </xf>
    <xf numFmtId="0" fontId="6" fillId="4" borderId="2" xfId="0" applyFont="1" applyFill="1" applyBorder="1" applyAlignment="1">
      <alignment horizontal="center" vertical="top" wrapText="1"/>
    </xf>
    <xf numFmtId="0" fontId="0" fillId="0" borderId="3" xfId="0" applyBorder="1"/>
    <xf numFmtId="0" fontId="3" fillId="0" borderId="1" xfId="0" applyFont="1" applyBorder="1" applyAlignment="1">
      <alignment vertical="top" wrapText="1"/>
    </xf>
    <xf numFmtId="0" fontId="6" fillId="0" borderId="1" xfId="0" applyFont="1" applyBorder="1" applyAlignment="1">
      <alignment horizontal="right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top" wrapText="1"/>
    </xf>
    <xf numFmtId="0" fontId="3" fillId="4" borderId="2" xfId="0" applyFont="1" applyFill="1" applyBorder="1" applyAlignment="1">
      <alignment horizontal="center" vertical="top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2" fillId="2" borderId="7" xfId="0" applyFont="1" applyFill="1" applyBorder="1" applyAlignment="1">
      <alignment horizontal="center" vertical="top" wrapText="1"/>
    </xf>
    <xf numFmtId="0" fontId="7" fillId="5" borderId="7" xfId="0" applyFont="1" applyFill="1" applyBorder="1" applyAlignment="1">
      <alignment vertical="top" wrapText="1"/>
    </xf>
    <xf numFmtId="0" fontId="0" fillId="0" borderId="11" xfId="0" applyBorder="1"/>
    <xf numFmtId="0" fontId="0" fillId="0" borderId="10" xfId="0" applyBorder="1"/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top" wrapText="1"/>
    </xf>
    <xf numFmtId="0" fontId="7" fillId="5" borderId="2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top" wrapText="1"/>
    </xf>
    <xf numFmtId="0" fontId="6" fillId="4" borderId="1" xfId="0" applyFont="1" applyFill="1" applyBorder="1" applyAlignment="1">
      <alignment horizontal="center" vertical="center" wrapText="1"/>
    </xf>
    <xf numFmtId="10" fontId="6" fillId="4" borderId="3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0" fontId="6" fillId="0" borderId="3" xfId="0" applyNumberFormat="1" applyFont="1" applyBorder="1" applyAlignment="1">
      <alignment horizontal="center" vertical="center" wrapText="1"/>
    </xf>
    <xf numFmtId="9" fontId="6" fillId="0" borderId="3" xfId="0" applyNumberFormat="1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9" fontId="6" fillId="4" borderId="0" xfId="0" applyNumberFormat="1" applyFont="1" applyFill="1" applyAlignment="1">
      <alignment horizontal="center" vertical="center" wrapText="1"/>
    </xf>
    <xf numFmtId="9" fontId="6" fillId="4" borderId="3" xfId="0" applyNumberFormat="1" applyFont="1" applyFill="1" applyBorder="1" applyAlignment="1">
      <alignment horizontal="center" vertical="center" wrapText="1"/>
    </xf>
    <xf numFmtId="10" fontId="6" fillId="4" borderId="0" xfId="0" applyNumberFormat="1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top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4" borderId="3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0" borderId="14" xfId="0" applyFont="1" applyBorder="1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10" fontId="9" fillId="0" borderId="0" xfId="0" applyNumberFormat="1" applyFont="1" applyAlignment="1">
      <alignment horizontal="right" vertical="center" wrapText="1"/>
    </xf>
    <xf numFmtId="10" fontId="9" fillId="0" borderId="14" xfId="0" applyNumberFormat="1" applyFont="1" applyBorder="1" applyAlignment="1">
      <alignment horizontal="right" vertical="center" wrapText="1"/>
    </xf>
    <xf numFmtId="0" fontId="9" fillId="0" borderId="15" xfId="0" applyFont="1" applyBorder="1" applyAlignment="1">
      <alignment horizontal="right" vertical="center" wrapText="1"/>
    </xf>
    <xf numFmtId="0" fontId="9" fillId="0" borderId="16" xfId="0" applyFont="1" applyBorder="1" applyAlignment="1">
      <alignment horizontal="right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1" fillId="0" borderId="0" xfId="0" applyFont="1"/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14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9" fontId="9" fillId="0" borderId="14" xfId="0" applyNumberFormat="1" applyFont="1" applyBorder="1" applyAlignment="1">
      <alignment horizontal="right" vertical="center" wrapText="1"/>
    </xf>
    <xf numFmtId="0" fontId="17" fillId="3" borderId="14" xfId="0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6" borderId="14" xfId="0" applyFont="1" applyFill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 indent="1"/>
    </xf>
    <xf numFmtId="0" fontId="13" fillId="0" borderId="16" xfId="0" applyFont="1" applyBorder="1"/>
    <xf numFmtId="0" fontId="11" fillId="0" borderId="14" xfId="0" applyFont="1" applyBorder="1" applyAlignment="1">
      <alignment horizontal="left" vertical="center" wrapText="1"/>
    </xf>
    <xf numFmtId="11" fontId="0" fillId="0" borderId="0" xfId="0" applyNumberFormat="1"/>
    <xf numFmtId="11" fontId="9" fillId="0" borderId="14" xfId="0" applyNumberFormat="1" applyFont="1" applyBorder="1" applyAlignment="1">
      <alignment horizontal="right" vertical="center" wrapText="1"/>
    </xf>
    <xf numFmtId="11" fontId="9" fillId="0" borderId="0" xfId="0" applyNumberFormat="1" applyFont="1" applyAlignment="1">
      <alignment horizontal="right" vertical="center" wrapText="1"/>
    </xf>
    <xf numFmtId="0" fontId="1" fillId="0" borderId="0" xfId="0" applyFont="1" applyAlignment="1">
      <alignment horizontal="center"/>
    </xf>
    <xf numFmtId="10" fontId="9" fillId="0" borderId="15" xfId="0" applyNumberFormat="1" applyFont="1" applyBorder="1" applyAlignment="1">
      <alignment horizontal="right" vertical="center" wrapText="1"/>
    </xf>
    <xf numFmtId="0" fontId="20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/>
    </xf>
    <xf numFmtId="0" fontId="13" fillId="0" borderId="0" xfId="0" applyFont="1" applyBorder="1"/>
    <xf numFmtId="0" fontId="0" fillId="0" borderId="0" xfId="0" applyBorder="1" applyAlignment="1">
      <alignment horizontal="center"/>
    </xf>
    <xf numFmtId="0" fontId="8" fillId="4" borderId="7" xfId="0" applyFont="1" applyFill="1" applyBorder="1" applyAlignment="1">
      <alignment horizontal="center" vertical="top" wrapText="1"/>
    </xf>
    <xf numFmtId="0" fontId="8" fillId="4" borderId="9" xfId="0" applyFont="1" applyFill="1" applyBorder="1" applyAlignment="1">
      <alignment horizontal="center" vertical="top" wrapText="1"/>
    </xf>
    <xf numFmtId="0" fontId="8" fillId="4" borderId="12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  <xf numFmtId="0" fontId="6" fillId="4" borderId="7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top" wrapText="1"/>
    </xf>
    <xf numFmtId="0" fontId="6" fillId="4" borderId="12" xfId="0" applyFont="1" applyFill="1" applyBorder="1" applyAlignment="1">
      <alignment horizontal="center" vertical="top" wrapText="1"/>
    </xf>
    <xf numFmtId="0" fontId="6" fillId="4" borderId="13" xfId="0" applyFont="1" applyFill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J101"/>
  <sheetViews>
    <sheetView zoomScale="70" zoomScaleNormal="70" workbookViewId="0">
      <selection activeCell="E21" sqref="E21"/>
    </sheetView>
  </sheetViews>
  <sheetFormatPr baseColWidth="10" defaultRowHeight="15"/>
  <cols>
    <col min="1" max="1" width="16.42578125" bestFit="1" customWidth="1"/>
    <col min="2" max="19" width="30.7109375" style="51" bestFit="1" customWidth="1"/>
  </cols>
  <sheetData>
    <row r="1" spans="1:36" ht="15.75" thickBot="1">
      <c r="A1" s="12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20" t="s">
        <v>18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4"/>
    </row>
    <row r="2" spans="1:36" ht="16.5" thickTop="1" thickBot="1">
      <c r="A2" s="15" t="s">
        <v>19</v>
      </c>
      <c r="B2" s="21"/>
      <c r="C2" s="21"/>
      <c r="D2" s="21"/>
      <c r="E2" s="21"/>
      <c r="F2" s="21"/>
      <c r="G2" s="21"/>
      <c r="H2" s="21"/>
      <c r="I2" s="21"/>
      <c r="J2" s="22"/>
      <c r="K2" s="21"/>
      <c r="L2" s="21"/>
      <c r="M2" s="22"/>
      <c r="N2" s="22"/>
      <c r="O2" s="21"/>
      <c r="P2" s="22"/>
      <c r="Q2" s="21"/>
      <c r="R2" s="21"/>
      <c r="S2" s="23"/>
      <c r="AJ2" s="3"/>
    </row>
    <row r="3" spans="1:36" ht="60.75" thickBot="1">
      <c r="A3" s="15" t="s">
        <v>20</v>
      </c>
      <c r="B3" s="24" t="s">
        <v>21</v>
      </c>
      <c r="C3" s="24" t="s">
        <v>22</v>
      </c>
      <c r="D3" s="24" t="s">
        <v>23</v>
      </c>
      <c r="E3" s="24" t="s">
        <v>24</v>
      </c>
      <c r="F3" s="24" t="s">
        <v>25</v>
      </c>
      <c r="G3" s="24" t="s">
        <v>26</v>
      </c>
      <c r="H3" s="24" t="s">
        <v>27</v>
      </c>
      <c r="I3" s="24" t="s">
        <v>28</v>
      </c>
      <c r="J3" s="24" t="s">
        <v>29</v>
      </c>
      <c r="K3" s="24" t="s">
        <v>30</v>
      </c>
      <c r="L3" s="24" t="s">
        <v>31</v>
      </c>
      <c r="M3" s="24" t="s">
        <v>32</v>
      </c>
      <c r="N3" s="24" t="s">
        <v>33</v>
      </c>
      <c r="O3" s="24" t="s">
        <v>34</v>
      </c>
      <c r="P3" s="24" t="s">
        <v>35</v>
      </c>
      <c r="Q3" s="24" t="s">
        <v>36</v>
      </c>
      <c r="R3" s="24" t="s">
        <v>36</v>
      </c>
      <c r="S3" s="25" t="s">
        <v>37</v>
      </c>
      <c r="AJ3" s="3"/>
    </row>
    <row r="4" spans="1:36" ht="15.75" thickBot="1">
      <c r="A4" s="15" t="s">
        <v>38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AJ4" s="3"/>
    </row>
    <row r="5" spans="1:36" ht="15.75" thickBot="1">
      <c r="A5" s="16" t="s">
        <v>39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AJ5" s="3"/>
    </row>
    <row r="6" spans="1:36" ht="24.75" thickBot="1">
      <c r="A6" s="15" t="s">
        <v>40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">
        <v>427.67</v>
      </c>
      <c r="O6" s="101"/>
      <c r="P6" s="101"/>
      <c r="Q6" s="101"/>
      <c r="R6" s="101"/>
      <c r="S6" s="103"/>
      <c r="AJ6" s="3"/>
    </row>
    <row r="7" spans="1:36" ht="24.75" thickBot="1">
      <c r="A7" s="15" t="s">
        <v>41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28"/>
      <c r="O7" s="102"/>
      <c r="P7" s="102"/>
      <c r="Q7" s="102"/>
      <c r="R7" s="102"/>
      <c r="S7" s="10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">
        <v>461.05</v>
      </c>
      <c r="AF7" s="4"/>
      <c r="AG7" s="4"/>
      <c r="AH7" s="4"/>
      <c r="AI7" s="4"/>
      <c r="AJ7" s="4"/>
    </row>
    <row r="8" spans="1:36" ht="24.75" thickBot="1">
      <c r="A8" s="15" t="s">
        <v>42</v>
      </c>
      <c r="B8" s="1">
        <v>491.01</v>
      </c>
      <c r="C8" s="1">
        <v>551.05999999999995</v>
      </c>
      <c r="D8" s="1">
        <v>1090.76</v>
      </c>
      <c r="E8" s="1">
        <v>450.41</v>
      </c>
      <c r="F8" s="1">
        <v>480.93</v>
      </c>
      <c r="G8" s="1">
        <v>983.43</v>
      </c>
      <c r="H8" s="1">
        <v>382.91</v>
      </c>
      <c r="I8" s="1">
        <v>480.32</v>
      </c>
      <c r="J8" s="1">
        <v>951.79</v>
      </c>
      <c r="K8" s="1">
        <v>480.93</v>
      </c>
      <c r="L8" s="1">
        <v>428.51</v>
      </c>
      <c r="M8" s="1">
        <v>327.97</v>
      </c>
      <c r="N8" s="1">
        <v>166.22</v>
      </c>
      <c r="O8" s="1">
        <v>983.81</v>
      </c>
      <c r="P8" s="1">
        <v>919.94</v>
      </c>
      <c r="Q8" s="1">
        <v>931.19</v>
      </c>
      <c r="R8" s="1">
        <v>934.04</v>
      </c>
      <c r="S8" s="2">
        <v>935.27</v>
      </c>
      <c r="AJ8" s="3"/>
    </row>
    <row r="9" spans="1:36" ht="24.75" thickBot="1">
      <c r="A9" s="15" t="s">
        <v>43</v>
      </c>
      <c r="B9" s="29">
        <v>509.98</v>
      </c>
      <c r="C9" s="29">
        <v>570.03</v>
      </c>
      <c r="D9" s="29">
        <v>1124.96</v>
      </c>
      <c r="E9" s="29">
        <v>483.79</v>
      </c>
      <c r="F9" s="29">
        <v>514.30999999999995</v>
      </c>
      <c r="G9" s="29">
        <v>1033.43</v>
      </c>
      <c r="H9" s="29">
        <v>430.69</v>
      </c>
      <c r="I9" s="29">
        <v>528.1</v>
      </c>
      <c r="J9" s="29">
        <v>1017.58</v>
      </c>
      <c r="K9" s="29">
        <v>514.30999999999995</v>
      </c>
      <c r="L9" s="29">
        <v>466.46</v>
      </c>
      <c r="M9" s="29">
        <v>365.91</v>
      </c>
      <c r="N9" s="29">
        <v>199.6</v>
      </c>
      <c r="O9" s="29">
        <v>1033.81</v>
      </c>
      <c r="P9" s="29">
        <v>980.45</v>
      </c>
      <c r="Q9" s="29">
        <v>991.7</v>
      </c>
      <c r="R9" s="29">
        <v>989.29</v>
      </c>
      <c r="S9" s="30">
        <v>985.27</v>
      </c>
      <c r="AJ9" s="3"/>
    </row>
    <row r="10" spans="1:36" ht="15.75" thickBot="1">
      <c r="A10" s="16" t="s">
        <v>44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7"/>
      <c r="AJ10" s="3"/>
    </row>
    <row r="11" spans="1:36" ht="15.75" thickBot="1">
      <c r="A11" s="15" t="s">
        <v>45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7"/>
      <c r="AJ11" s="3"/>
    </row>
    <row r="12" spans="1:36" ht="24.75" thickBot="1">
      <c r="A12" s="15" t="s">
        <v>46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9"/>
      <c r="AJ12" s="3"/>
    </row>
    <row r="13" spans="1:36" ht="15.75" thickBot="1">
      <c r="A13" s="16" t="s">
        <v>47</v>
      </c>
      <c r="B13" s="10" t="s">
        <v>48</v>
      </c>
      <c r="C13" s="10" t="s">
        <v>48</v>
      </c>
      <c r="D13" s="10" t="s">
        <v>48</v>
      </c>
      <c r="E13" s="10" t="s">
        <v>48</v>
      </c>
      <c r="F13" s="10" t="s">
        <v>48</v>
      </c>
      <c r="G13" s="10" t="s">
        <v>48</v>
      </c>
      <c r="H13" s="10" t="s">
        <v>48</v>
      </c>
      <c r="I13" s="10" t="s">
        <v>48</v>
      </c>
      <c r="J13" s="10" t="s">
        <v>48</v>
      </c>
      <c r="K13" s="10" t="s">
        <v>48</v>
      </c>
      <c r="L13" s="10" t="s">
        <v>48</v>
      </c>
      <c r="M13" s="10" t="s">
        <v>48</v>
      </c>
      <c r="N13" s="10" t="s">
        <v>48</v>
      </c>
      <c r="O13" s="10" t="s">
        <v>48</v>
      </c>
      <c r="P13" s="10" t="s">
        <v>48</v>
      </c>
      <c r="Q13" s="10" t="s">
        <v>48</v>
      </c>
      <c r="R13" s="10" t="s">
        <v>48</v>
      </c>
      <c r="S13" s="11" t="s">
        <v>48</v>
      </c>
      <c r="AJ13" s="3"/>
    </row>
    <row r="14" spans="1:36">
      <c r="A14" s="105" t="s">
        <v>49</v>
      </c>
      <c r="B14" s="31">
        <v>60.49</v>
      </c>
      <c r="C14" s="31">
        <v>52.08</v>
      </c>
      <c r="D14" s="31">
        <v>54.62</v>
      </c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9"/>
      <c r="AJ14" s="3"/>
    </row>
    <row r="15" spans="1:36" ht="15.75" thickBot="1">
      <c r="A15" s="106"/>
      <c r="B15" s="32">
        <v>2.5199999999999998E-7</v>
      </c>
      <c r="C15" s="32">
        <v>6.1699999999999998E-2</v>
      </c>
      <c r="D15" s="32">
        <v>5.5500000000000001E-2</v>
      </c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10"/>
      <c r="AJ15" s="3"/>
    </row>
    <row r="16" spans="1:36">
      <c r="A16" s="105" t="s">
        <v>50</v>
      </c>
      <c r="B16" s="33">
        <v>11</v>
      </c>
      <c r="C16" s="33">
        <v>10.35</v>
      </c>
      <c r="D16" s="33">
        <v>10.119999999999999</v>
      </c>
      <c r="E16" s="33">
        <v>10.77</v>
      </c>
      <c r="F16" s="33">
        <v>10.19</v>
      </c>
      <c r="G16" s="33">
        <v>9.94</v>
      </c>
      <c r="H16" s="33">
        <v>10.59</v>
      </c>
      <c r="I16" s="33">
        <v>10.24</v>
      </c>
      <c r="J16" s="33">
        <v>10.1</v>
      </c>
      <c r="K16" s="33">
        <v>10.19</v>
      </c>
      <c r="L16" s="33">
        <v>10.210000000000001</v>
      </c>
      <c r="M16" s="33">
        <v>10.199999999999999</v>
      </c>
      <c r="N16" s="33">
        <v>10.220000000000001</v>
      </c>
      <c r="O16" s="33">
        <v>10.1</v>
      </c>
      <c r="P16" s="33">
        <v>10.32</v>
      </c>
      <c r="Q16" s="33">
        <v>9.3699999999999992</v>
      </c>
      <c r="R16" s="33">
        <v>10.220000000000001</v>
      </c>
      <c r="S16" s="34">
        <v>9.9700000000000006</v>
      </c>
      <c r="AJ16" s="3"/>
    </row>
    <row r="17" spans="1:36" ht="15.75" thickBot="1">
      <c r="A17" s="106"/>
      <c r="B17" s="35">
        <v>6.7699999999999996E-2</v>
      </c>
      <c r="C17" s="35">
        <v>7.2800000000000004E-2</v>
      </c>
      <c r="D17" s="35">
        <v>7.0199999999999999E-2</v>
      </c>
      <c r="E17" s="35">
        <v>0.1142</v>
      </c>
      <c r="F17" s="35">
        <v>7.5499999999999998E-2</v>
      </c>
      <c r="G17" s="35">
        <v>7.9600000000000004E-2</v>
      </c>
      <c r="H17" s="35">
        <v>0.1124</v>
      </c>
      <c r="I17" s="35">
        <v>7.4099999999999999E-2</v>
      </c>
      <c r="J17" s="35">
        <v>7.9000000000000001E-2</v>
      </c>
      <c r="K17" s="35">
        <v>7.5499999999999998E-2</v>
      </c>
      <c r="L17" s="35">
        <v>7.0699999999999999E-2</v>
      </c>
      <c r="M17" s="35">
        <v>7.0599999999999996E-2</v>
      </c>
      <c r="N17" s="35">
        <v>7.0599999999999996E-2</v>
      </c>
      <c r="O17" s="35">
        <v>7.6399999999999996E-2</v>
      </c>
      <c r="P17" s="36">
        <v>7.0000000000000007E-2</v>
      </c>
      <c r="Q17" s="35">
        <v>8.4400000000000003E-2</v>
      </c>
      <c r="R17" s="35">
        <v>7.4700000000000003E-2</v>
      </c>
      <c r="S17" s="37">
        <v>7.7499999999999999E-2</v>
      </c>
      <c r="AJ17" s="3"/>
    </row>
    <row r="18" spans="1:36">
      <c r="A18" s="105" t="s">
        <v>51</v>
      </c>
      <c r="B18" s="107"/>
      <c r="C18" s="107"/>
      <c r="D18" s="31">
        <v>0.90800000000000003</v>
      </c>
      <c r="E18" s="107"/>
      <c r="F18" s="107"/>
      <c r="G18" s="31">
        <v>0.91100000000000003</v>
      </c>
      <c r="H18" s="107"/>
      <c r="I18" s="107"/>
      <c r="J18" s="31">
        <v>0.91200000000000003</v>
      </c>
      <c r="K18" s="107"/>
      <c r="L18" s="107"/>
      <c r="M18" s="107"/>
      <c r="N18" s="107"/>
      <c r="O18" s="31">
        <v>0.91200000000000003</v>
      </c>
      <c r="P18" s="31">
        <v>0.95099999999999996</v>
      </c>
      <c r="Q18" s="31">
        <v>0.95099999999999996</v>
      </c>
      <c r="R18" s="31">
        <v>0.95</v>
      </c>
      <c r="S18" s="38">
        <v>0.95099999999999996</v>
      </c>
      <c r="AJ18" s="3"/>
    </row>
    <row r="19" spans="1:36" ht="15.75" thickBot="1">
      <c r="A19" s="106"/>
      <c r="B19" s="108"/>
      <c r="C19" s="108"/>
      <c r="D19" s="32">
        <v>5.8299999999999998E-2</v>
      </c>
      <c r="E19" s="108"/>
      <c r="F19" s="108"/>
      <c r="G19" s="32">
        <v>5.96E-2</v>
      </c>
      <c r="H19" s="108"/>
      <c r="I19" s="108"/>
      <c r="J19" s="32">
        <v>5.9499999999999997E-2</v>
      </c>
      <c r="K19" s="108"/>
      <c r="L19" s="108"/>
      <c r="M19" s="108"/>
      <c r="N19" s="108"/>
      <c r="O19" s="32">
        <v>5.8999999999999997E-2</v>
      </c>
      <c r="P19" s="32">
        <v>6.83E-2</v>
      </c>
      <c r="Q19" s="32">
        <v>6.7699999999999996E-2</v>
      </c>
      <c r="R19" s="32">
        <v>6.9900000000000004E-2</v>
      </c>
      <c r="S19" s="39">
        <v>7.0000000000000007E-2</v>
      </c>
      <c r="AJ19" s="3"/>
    </row>
    <row r="20" spans="1:36">
      <c r="A20" s="105" t="s">
        <v>52</v>
      </c>
      <c r="B20" s="111"/>
      <c r="C20" s="111"/>
      <c r="D20" s="111"/>
      <c r="E20" s="33">
        <v>53.69</v>
      </c>
      <c r="F20" s="33">
        <v>43.28</v>
      </c>
      <c r="G20" s="33">
        <v>46.36</v>
      </c>
      <c r="H20" s="33">
        <v>55.35</v>
      </c>
      <c r="I20" s="33">
        <v>42.95</v>
      </c>
      <c r="J20" s="33">
        <v>43.61</v>
      </c>
      <c r="K20" s="33">
        <v>43.28</v>
      </c>
      <c r="L20" s="33">
        <v>43.85</v>
      </c>
      <c r="M20" s="33">
        <v>43.93</v>
      </c>
      <c r="N20" s="33">
        <v>44.17</v>
      </c>
      <c r="O20" s="33">
        <v>44.96</v>
      </c>
      <c r="P20" s="33">
        <v>44.78</v>
      </c>
      <c r="Q20" s="33">
        <v>48.76</v>
      </c>
      <c r="R20" s="33">
        <v>44.89</v>
      </c>
      <c r="S20" s="34">
        <v>46.23</v>
      </c>
      <c r="AJ20" s="3"/>
    </row>
    <row r="21" spans="1:36" ht="15.75" thickBot="1">
      <c r="A21" s="106"/>
      <c r="B21" s="112"/>
      <c r="C21" s="112"/>
      <c r="D21" s="112"/>
      <c r="E21" s="35">
        <v>3.3099999999999999E-7</v>
      </c>
      <c r="F21" s="35">
        <v>7.6399999999999996E-2</v>
      </c>
      <c r="G21" s="35">
        <v>6.88E-2</v>
      </c>
      <c r="H21" s="35">
        <v>1.18E-7</v>
      </c>
      <c r="I21" s="35">
        <v>8.9099999999999999E-2</v>
      </c>
      <c r="J21" s="35">
        <v>7.8299999999999995E-2</v>
      </c>
      <c r="K21" s="35">
        <v>7.6399999999999996E-2</v>
      </c>
      <c r="L21" s="35">
        <v>0.13170000000000001</v>
      </c>
      <c r="M21" s="35">
        <v>4.95E-8</v>
      </c>
      <c r="N21" s="35">
        <v>8.9700000000000003E-8</v>
      </c>
      <c r="O21" s="35">
        <v>9.5699999999999993E-2</v>
      </c>
      <c r="P21" s="35">
        <v>2.87E-2</v>
      </c>
      <c r="Q21" s="35">
        <v>5.28E-2</v>
      </c>
      <c r="R21" s="35">
        <v>0.1182</v>
      </c>
      <c r="S21" s="37">
        <v>5.8900000000000001E-2</v>
      </c>
      <c r="AJ21" s="3"/>
    </row>
    <row r="22" spans="1:36">
      <c r="A22" s="105" t="s">
        <v>53</v>
      </c>
      <c r="B22" s="107"/>
      <c r="C22" s="107"/>
      <c r="D22" s="107"/>
      <c r="E22" s="31">
        <v>15.97</v>
      </c>
      <c r="F22" s="31">
        <v>15.69</v>
      </c>
      <c r="G22" s="31">
        <v>14.14</v>
      </c>
      <c r="H22" s="107"/>
      <c r="I22" s="107"/>
      <c r="J22" s="107"/>
      <c r="K22" s="31">
        <v>15.69</v>
      </c>
      <c r="L22" s="31">
        <v>10.039999999999999</v>
      </c>
      <c r="M22" s="31">
        <v>9.9</v>
      </c>
      <c r="N22" s="31">
        <v>9.91</v>
      </c>
      <c r="O22" s="31">
        <v>15.19</v>
      </c>
      <c r="P22" s="31">
        <v>11.78</v>
      </c>
      <c r="Q22" s="31">
        <v>10.5</v>
      </c>
      <c r="R22" s="31">
        <v>13.1</v>
      </c>
      <c r="S22" s="113">
        <v>11.77</v>
      </c>
      <c r="AJ22" s="3"/>
    </row>
    <row r="23" spans="1:36" ht="15.75" thickBot="1">
      <c r="A23" s="106"/>
      <c r="B23" s="108"/>
      <c r="C23" s="108"/>
      <c r="D23" s="108"/>
      <c r="E23" s="32">
        <v>1.1600000000000001E-7</v>
      </c>
      <c r="F23" s="32">
        <v>3.03E-7</v>
      </c>
      <c r="G23" s="32">
        <v>5.6700000000000003E-7</v>
      </c>
      <c r="H23" s="108"/>
      <c r="I23" s="108"/>
      <c r="J23" s="108"/>
      <c r="K23" s="32">
        <v>3.03E-7</v>
      </c>
      <c r="L23" s="32">
        <v>0.37559999999999999</v>
      </c>
      <c r="M23" s="32">
        <v>0.28050000000000003</v>
      </c>
      <c r="N23" s="32">
        <v>0.28129999999999999</v>
      </c>
      <c r="O23" s="32">
        <v>0.2656</v>
      </c>
      <c r="P23" s="32">
        <v>0.29770000000000002</v>
      </c>
      <c r="Q23" s="32">
        <v>0.24160000000000001</v>
      </c>
      <c r="R23" s="32">
        <v>0.98040000000000005</v>
      </c>
      <c r="S23" s="114"/>
      <c r="AJ23" s="3"/>
    </row>
    <row r="24" spans="1:36">
      <c r="A24" s="105" t="s">
        <v>54</v>
      </c>
      <c r="B24" s="111"/>
      <c r="C24" s="111"/>
      <c r="D24" s="111"/>
      <c r="E24" s="33">
        <v>44.1</v>
      </c>
      <c r="F24" s="33">
        <v>35.950000000000003</v>
      </c>
      <c r="G24" s="33">
        <v>42.59</v>
      </c>
      <c r="H24" s="33">
        <v>50.1</v>
      </c>
      <c r="I24" s="33">
        <v>56.38</v>
      </c>
      <c r="J24" s="33">
        <v>36.46</v>
      </c>
      <c r="K24" s="33">
        <v>35.950000000000003</v>
      </c>
      <c r="L24" s="33">
        <v>51.28</v>
      </c>
      <c r="M24" s="33">
        <v>53.3</v>
      </c>
      <c r="N24" s="33">
        <v>51.29</v>
      </c>
      <c r="O24" s="33">
        <v>39.89</v>
      </c>
      <c r="P24" s="33">
        <v>51.8</v>
      </c>
      <c r="Q24" s="115">
        <v>103.07</v>
      </c>
      <c r="R24" s="115">
        <v>49.62</v>
      </c>
      <c r="S24" s="34">
        <v>63.37</v>
      </c>
      <c r="AJ24" s="3"/>
    </row>
    <row r="25" spans="1:36" ht="15.75" thickBot="1">
      <c r="A25" s="106"/>
      <c r="B25" s="112"/>
      <c r="C25" s="112"/>
      <c r="D25" s="112"/>
      <c r="E25" s="35">
        <v>1.2684</v>
      </c>
      <c r="F25" s="35">
        <v>0.37619999999999998</v>
      </c>
      <c r="G25" s="35">
        <v>0.40789999999999998</v>
      </c>
      <c r="H25" s="35">
        <v>0.90559999999999996</v>
      </c>
      <c r="I25" s="35">
        <v>1.0700000000000001E-7</v>
      </c>
      <c r="J25" s="35">
        <v>0.371</v>
      </c>
      <c r="K25" s="35">
        <v>0.37619999999999998</v>
      </c>
      <c r="L25" s="35">
        <v>0.73380000000000001</v>
      </c>
      <c r="M25" s="35">
        <v>3.3799999999999998E-7</v>
      </c>
      <c r="N25" s="35">
        <v>1.2100000000000001E-7</v>
      </c>
      <c r="O25" s="35">
        <v>0.43259999999999998</v>
      </c>
      <c r="P25" s="35">
        <v>0.14960000000000001</v>
      </c>
      <c r="Q25" s="116"/>
      <c r="R25" s="116"/>
      <c r="S25" s="37">
        <v>0.74439999999999995</v>
      </c>
      <c r="AJ25" s="3"/>
    </row>
    <row r="26" spans="1:36">
      <c r="A26" s="105" t="s">
        <v>55</v>
      </c>
      <c r="B26" s="107"/>
      <c r="C26" s="107"/>
      <c r="D26" s="107"/>
      <c r="E26" s="107"/>
      <c r="F26" s="107"/>
      <c r="G26" s="107"/>
      <c r="H26" s="117">
        <v>12.78</v>
      </c>
      <c r="I26" s="31">
        <v>10.91</v>
      </c>
      <c r="J26" s="31">
        <v>15.71</v>
      </c>
      <c r="K26" s="107"/>
      <c r="L26" s="107"/>
      <c r="M26" s="107"/>
      <c r="N26" s="107"/>
      <c r="O26" s="107"/>
      <c r="P26" s="107"/>
      <c r="Q26" s="107"/>
      <c r="R26" s="107"/>
      <c r="S26" s="109"/>
      <c r="AJ26" s="3"/>
    </row>
    <row r="27" spans="1:36" ht="15.75" thickBot="1">
      <c r="A27" s="106"/>
      <c r="B27" s="108"/>
      <c r="C27" s="108"/>
      <c r="D27" s="108"/>
      <c r="E27" s="108"/>
      <c r="F27" s="108"/>
      <c r="G27" s="108"/>
      <c r="H27" s="118"/>
      <c r="I27" s="32">
        <v>0.33610000000000001</v>
      </c>
      <c r="J27" s="32">
        <v>1.2499999999999999E-7</v>
      </c>
      <c r="K27" s="108"/>
      <c r="L27" s="108"/>
      <c r="M27" s="108"/>
      <c r="N27" s="108"/>
      <c r="O27" s="108"/>
      <c r="P27" s="108"/>
      <c r="Q27" s="108"/>
      <c r="R27" s="108"/>
      <c r="S27" s="110"/>
      <c r="AJ27" s="3"/>
    </row>
    <row r="28" spans="1:36">
      <c r="A28" s="105" t="s">
        <v>56</v>
      </c>
      <c r="B28" s="111"/>
      <c r="C28" s="111"/>
      <c r="D28" s="111"/>
      <c r="E28" s="111"/>
      <c r="F28" s="111"/>
      <c r="G28" s="111"/>
      <c r="H28" s="33">
        <v>0.29799999999999999</v>
      </c>
      <c r="I28" s="33">
        <v>0.42299999999999999</v>
      </c>
      <c r="J28" s="33">
        <v>3.65</v>
      </c>
      <c r="K28" s="111"/>
      <c r="L28" s="111"/>
      <c r="M28" s="111"/>
      <c r="N28" s="111"/>
      <c r="O28" s="111"/>
      <c r="P28" s="111"/>
      <c r="Q28" s="111"/>
      <c r="R28" s="111"/>
      <c r="S28" s="119"/>
      <c r="AJ28" s="3"/>
    </row>
    <row r="29" spans="1:36" ht="15.75" thickBot="1">
      <c r="A29" s="106"/>
      <c r="B29" s="112"/>
      <c r="C29" s="112"/>
      <c r="D29" s="112"/>
      <c r="E29" s="112"/>
      <c r="F29" s="112"/>
      <c r="G29" s="112"/>
      <c r="H29" s="35">
        <v>2.2399999999999999E-8</v>
      </c>
      <c r="I29" s="35">
        <v>7.5499999999999994E-8</v>
      </c>
      <c r="J29" s="35">
        <v>1.4100000000000001E-7</v>
      </c>
      <c r="K29" s="112"/>
      <c r="L29" s="112"/>
      <c r="M29" s="112"/>
      <c r="N29" s="112"/>
      <c r="O29" s="112"/>
      <c r="P29" s="112"/>
      <c r="Q29" s="112"/>
      <c r="R29" s="112"/>
      <c r="S29" s="120"/>
      <c r="AJ29" s="3"/>
    </row>
    <row r="30" spans="1:36">
      <c r="A30" s="105" t="s">
        <v>57</v>
      </c>
      <c r="B30" s="107"/>
      <c r="C30" s="107"/>
      <c r="D30" s="107"/>
      <c r="E30" s="107"/>
      <c r="F30" s="107"/>
      <c r="G30" s="107"/>
      <c r="H30" s="31">
        <v>0.52600000000000002</v>
      </c>
      <c r="I30" s="31">
        <v>1.1499999999999999</v>
      </c>
      <c r="J30" s="31">
        <v>1.75</v>
      </c>
      <c r="K30" s="107"/>
      <c r="L30" s="107"/>
      <c r="M30" s="107"/>
      <c r="N30" s="107"/>
      <c r="O30" s="107"/>
      <c r="P30" s="107"/>
      <c r="Q30" s="107"/>
      <c r="R30" s="107"/>
      <c r="S30" s="109"/>
      <c r="AJ30" s="3"/>
    </row>
    <row r="31" spans="1:36" ht="15.75" thickBot="1">
      <c r="A31" s="106"/>
      <c r="B31" s="108"/>
      <c r="C31" s="108"/>
      <c r="D31" s="108"/>
      <c r="E31" s="108"/>
      <c r="F31" s="108"/>
      <c r="G31" s="108"/>
      <c r="H31" s="32">
        <v>9.83E-8</v>
      </c>
      <c r="I31" s="32">
        <v>8.6299999999999999E-8</v>
      </c>
      <c r="J31" s="32">
        <v>1.01E-7</v>
      </c>
      <c r="K31" s="108"/>
      <c r="L31" s="108"/>
      <c r="M31" s="108"/>
      <c r="N31" s="108"/>
      <c r="O31" s="108"/>
      <c r="P31" s="108"/>
      <c r="Q31" s="108"/>
      <c r="R31" s="108"/>
      <c r="S31" s="110"/>
      <c r="AJ31" s="3"/>
    </row>
    <row r="32" spans="1:36" ht="15.75" thickBot="1">
      <c r="A32" s="16" t="s">
        <v>58</v>
      </c>
      <c r="B32" s="10" t="s">
        <v>48</v>
      </c>
      <c r="C32" s="10" t="s">
        <v>48</v>
      </c>
      <c r="D32" s="10" t="s">
        <v>48</v>
      </c>
      <c r="E32" s="10" t="s">
        <v>48</v>
      </c>
      <c r="F32" s="10" t="s">
        <v>48</v>
      </c>
      <c r="G32" s="10" t="s">
        <v>48</v>
      </c>
      <c r="H32" s="10" t="s">
        <v>48</v>
      </c>
      <c r="I32" s="10" t="s">
        <v>48</v>
      </c>
      <c r="J32" s="10" t="s">
        <v>48</v>
      </c>
      <c r="K32" s="10" t="s">
        <v>48</v>
      </c>
      <c r="L32" s="10" t="s">
        <v>48</v>
      </c>
      <c r="M32" s="10" t="s">
        <v>48</v>
      </c>
      <c r="N32" s="10" t="s">
        <v>48</v>
      </c>
      <c r="O32" s="10" t="s">
        <v>48</v>
      </c>
      <c r="P32" s="10" t="s">
        <v>48</v>
      </c>
      <c r="Q32" s="10" t="s">
        <v>48</v>
      </c>
      <c r="R32" s="10" t="s">
        <v>48</v>
      </c>
      <c r="S32" s="11" t="s">
        <v>48</v>
      </c>
      <c r="AJ32" s="3"/>
    </row>
    <row r="33" spans="1:36">
      <c r="A33" s="105" t="s">
        <v>59</v>
      </c>
      <c r="B33" s="31">
        <v>0.23799999999999999</v>
      </c>
      <c r="C33" s="31">
        <v>0.25800000000000001</v>
      </c>
      <c r="D33" s="31">
        <v>0.25</v>
      </c>
      <c r="E33" s="31">
        <v>0.252</v>
      </c>
      <c r="F33" s="31">
        <v>0.26900000000000002</v>
      </c>
      <c r="G33" s="31">
        <v>0.26800000000000002</v>
      </c>
      <c r="H33" s="31">
        <v>0.248</v>
      </c>
      <c r="I33" s="31">
        <v>0.26700000000000002</v>
      </c>
      <c r="J33" s="31">
        <v>0.26800000000000002</v>
      </c>
      <c r="K33" s="31">
        <v>0.26900000000000002</v>
      </c>
      <c r="L33" s="31">
        <v>0.26100000000000001</v>
      </c>
      <c r="M33" s="31">
        <v>0.26</v>
      </c>
      <c r="N33" s="31">
        <v>0.26</v>
      </c>
      <c r="O33" s="31">
        <v>0.26500000000000001</v>
      </c>
      <c r="P33" s="31">
        <v>0.25600000000000001</v>
      </c>
      <c r="Q33" s="31">
        <v>0.26200000000000001</v>
      </c>
      <c r="R33" s="31">
        <v>0.26</v>
      </c>
      <c r="S33" s="38">
        <v>0.26400000000000001</v>
      </c>
      <c r="AJ33" s="3"/>
    </row>
    <row r="34" spans="1:36" ht="15.75" thickBot="1">
      <c r="A34" s="106"/>
      <c r="B34" s="32">
        <v>0.21129999999999999</v>
      </c>
      <c r="C34" s="32">
        <v>0.2041</v>
      </c>
      <c r="D34" s="32">
        <v>0.20530000000000001</v>
      </c>
      <c r="E34" s="32">
        <v>0.21709999999999999</v>
      </c>
      <c r="F34" s="32">
        <v>0.20169999999999999</v>
      </c>
      <c r="G34" s="40">
        <v>0.22</v>
      </c>
      <c r="H34" s="32">
        <v>0.23480000000000001</v>
      </c>
      <c r="I34" s="32">
        <v>0.1933</v>
      </c>
      <c r="J34" s="32">
        <v>0.20130000000000001</v>
      </c>
      <c r="K34" s="32">
        <v>0.20169999999999999</v>
      </c>
      <c r="L34" s="32">
        <v>0.1996</v>
      </c>
      <c r="M34" s="32">
        <v>0.19980000000000001</v>
      </c>
      <c r="N34" s="32">
        <v>0.19400000000000001</v>
      </c>
      <c r="O34" s="32">
        <v>0.19900000000000001</v>
      </c>
      <c r="P34" s="32">
        <v>0.1958</v>
      </c>
      <c r="Q34" s="32">
        <v>0.221</v>
      </c>
      <c r="R34" s="32">
        <v>0.2099</v>
      </c>
      <c r="S34" s="41">
        <v>0.20930000000000001</v>
      </c>
      <c r="AJ34" s="3"/>
    </row>
    <row r="35" spans="1:36">
      <c r="A35" s="105" t="s">
        <v>60</v>
      </c>
      <c r="B35" s="33">
        <v>5.5099999999999997E-8</v>
      </c>
      <c r="C35" s="33">
        <v>0.17899999999999999</v>
      </c>
      <c r="D35" s="33">
        <v>0.16500000000000001</v>
      </c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9"/>
      <c r="AJ35" s="3"/>
    </row>
    <row r="36" spans="1:36" ht="15.75" thickBot="1">
      <c r="A36" s="106"/>
      <c r="B36" s="35">
        <v>0.75949999999999995</v>
      </c>
      <c r="C36" s="35">
        <v>0.33729999999999999</v>
      </c>
      <c r="D36" s="35">
        <v>0.32319999999999999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20"/>
      <c r="AJ36" s="3"/>
    </row>
    <row r="37" spans="1:36">
      <c r="A37" s="105" t="s">
        <v>61</v>
      </c>
      <c r="B37" s="107"/>
      <c r="C37" s="107"/>
      <c r="D37" s="31">
        <v>0.192</v>
      </c>
      <c r="E37" s="107"/>
      <c r="F37" s="107"/>
      <c r="G37" s="31">
        <v>0.21</v>
      </c>
      <c r="H37" s="107"/>
      <c r="I37" s="107"/>
      <c r="J37" s="31">
        <v>0.21</v>
      </c>
      <c r="K37" s="107"/>
      <c r="L37" s="107"/>
      <c r="M37" s="107"/>
      <c r="N37" s="107"/>
      <c r="O37" s="31">
        <v>0.21099999999999999</v>
      </c>
      <c r="P37" s="31">
        <v>0.24399999999999999</v>
      </c>
      <c r="Q37" s="31">
        <v>0.24199999999999999</v>
      </c>
      <c r="R37" s="31">
        <v>0.25</v>
      </c>
      <c r="S37" s="38">
        <v>0.25</v>
      </c>
      <c r="AJ37" s="3"/>
    </row>
    <row r="38" spans="1:36" ht="15.75" thickBot="1">
      <c r="A38" s="106"/>
      <c r="B38" s="108"/>
      <c r="C38" s="108"/>
      <c r="D38" s="32">
        <v>0.2281</v>
      </c>
      <c r="E38" s="108"/>
      <c r="F38" s="108"/>
      <c r="G38" s="32">
        <v>0.20580000000000001</v>
      </c>
      <c r="H38" s="108"/>
      <c r="I38" s="108"/>
      <c r="J38" s="32">
        <v>0.20169999999999999</v>
      </c>
      <c r="K38" s="108"/>
      <c r="L38" s="108"/>
      <c r="M38" s="108"/>
      <c r="N38" s="108"/>
      <c r="O38" s="32">
        <v>0.20549999999999999</v>
      </c>
      <c r="P38" s="32">
        <v>0.2094</v>
      </c>
      <c r="Q38" s="32">
        <v>0.20910000000000001</v>
      </c>
      <c r="R38" s="32">
        <v>0.21149999999999999</v>
      </c>
      <c r="S38" s="41">
        <v>0.21249999999999999</v>
      </c>
      <c r="AJ38" s="3"/>
    </row>
    <row r="39" spans="1:36">
      <c r="A39" s="105" t="s">
        <v>62</v>
      </c>
      <c r="B39" s="111"/>
      <c r="C39" s="111"/>
      <c r="D39" s="111"/>
      <c r="E39" s="33">
        <v>3.4200000000000002E-8</v>
      </c>
      <c r="F39" s="33">
        <v>1.2800000000000001E-7</v>
      </c>
      <c r="G39" s="33">
        <v>5.4900000000000002E-8</v>
      </c>
      <c r="H39" s="111"/>
      <c r="I39" s="111"/>
      <c r="J39" s="111"/>
      <c r="K39" s="33">
        <v>1.2800000000000001E-7</v>
      </c>
      <c r="L39" s="33">
        <v>0.94299999999999995</v>
      </c>
      <c r="M39" s="33">
        <v>0.96299999999999997</v>
      </c>
      <c r="N39" s="33">
        <v>0.96799999999999997</v>
      </c>
      <c r="O39" s="33">
        <v>0.32400000000000001</v>
      </c>
      <c r="P39" s="33">
        <v>0.98699999999999999</v>
      </c>
      <c r="Q39" s="115">
        <v>0.42899999999999999</v>
      </c>
      <c r="R39" s="33">
        <v>0.73299999999999998</v>
      </c>
      <c r="S39" s="121">
        <v>0.65400000000000003</v>
      </c>
      <c r="AJ39" s="3"/>
    </row>
    <row r="40" spans="1:36" ht="15.75" thickBot="1">
      <c r="A40" s="106"/>
      <c r="B40" s="112"/>
      <c r="C40" s="112"/>
      <c r="D40" s="112"/>
      <c r="E40" s="35">
        <v>1.5450999999999999</v>
      </c>
      <c r="F40" s="35">
        <v>0.73319999999999996</v>
      </c>
      <c r="G40" s="35">
        <v>0.97760000000000002</v>
      </c>
      <c r="H40" s="112"/>
      <c r="I40" s="112"/>
      <c r="J40" s="112"/>
      <c r="K40" s="35">
        <v>0.73319999999999996</v>
      </c>
      <c r="L40" s="35">
        <v>0.3543</v>
      </c>
      <c r="M40" s="35">
        <v>0.45379999999999998</v>
      </c>
      <c r="N40" s="35">
        <v>0.25769999999999998</v>
      </c>
      <c r="O40" s="35">
        <v>0.60680000000000001</v>
      </c>
      <c r="P40" s="35">
        <v>0.2248</v>
      </c>
      <c r="Q40" s="116"/>
      <c r="R40" s="35">
        <v>1.1387</v>
      </c>
      <c r="S40" s="122"/>
      <c r="AJ40" s="3"/>
    </row>
    <row r="41" spans="1:36">
      <c r="A41" s="105" t="s">
        <v>63</v>
      </c>
      <c r="B41" s="107"/>
      <c r="C41" s="107"/>
      <c r="D41" s="107"/>
      <c r="E41" s="31">
        <v>5.39E-8</v>
      </c>
      <c r="F41" s="31">
        <v>0.253</v>
      </c>
      <c r="G41" s="31">
        <v>0.216</v>
      </c>
      <c r="H41" s="31">
        <v>4.3399999999999998E-8</v>
      </c>
      <c r="I41" s="31">
        <v>0.19400000000000001</v>
      </c>
      <c r="J41" s="31">
        <v>0.23100000000000001</v>
      </c>
      <c r="K41" s="31">
        <v>0.253</v>
      </c>
      <c r="L41" s="31">
        <v>5.5800000000000002E-2</v>
      </c>
      <c r="M41" s="31">
        <v>2.1299999999999999E-8</v>
      </c>
      <c r="N41" s="31">
        <v>2.9000000000000002E-8</v>
      </c>
      <c r="O41" s="31">
        <v>0.20300000000000001</v>
      </c>
      <c r="P41" s="31">
        <v>3.6400000000000002E-2</v>
      </c>
      <c r="Q41" s="31">
        <v>0.125</v>
      </c>
      <c r="R41" s="31">
        <v>0.107</v>
      </c>
      <c r="S41" s="38">
        <v>0.10100000000000001</v>
      </c>
      <c r="AJ41" s="3"/>
    </row>
    <row r="42" spans="1:36" ht="15.75" thickBot="1">
      <c r="A42" s="106"/>
      <c r="B42" s="108"/>
      <c r="C42" s="108"/>
      <c r="D42" s="108"/>
      <c r="E42" s="32">
        <v>1.1594</v>
      </c>
      <c r="F42" s="32">
        <v>0.22439999999999999</v>
      </c>
      <c r="G42" s="32">
        <v>0.2843</v>
      </c>
      <c r="H42" s="32">
        <v>0.94220000000000004</v>
      </c>
      <c r="I42" s="32">
        <v>0.32129999999999997</v>
      </c>
      <c r="J42" s="32">
        <v>0.25929999999999997</v>
      </c>
      <c r="K42" s="32">
        <v>0.22439999999999999</v>
      </c>
      <c r="L42" s="32">
        <v>0.9607</v>
      </c>
      <c r="M42" s="32">
        <v>0.96789999999999998</v>
      </c>
      <c r="N42" s="32">
        <v>1.2865</v>
      </c>
      <c r="O42" s="32">
        <v>0.2742</v>
      </c>
      <c r="P42" s="32">
        <v>0.80010000000000003</v>
      </c>
      <c r="Q42" s="32">
        <v>0.3962</v>
      </c>
      <c r="R42" s="32">
        <v>1.6194</v>
      </c>
      <c r="S42" s="41">
        <v>1.0817000000000001</v>
      </c>
      <c r="AJ42" s="3"/>
    </row>
    <row r="43" spans="1:36">
      <c r="A43" s="105" t="s">
        <v>64</v>
      </c>
      <c r="B43" s="111"/>
      <c r="C43" s="111"/>
      <c r="D43" s="111"/>
      <c r="E43" s="33">
        <v>0.99299999999999999</v>
      </c>
      <c r="F43" s="33">
        <v>0.97099999999999997</v>
      </c>
      <c r="G43" s="33">
        <v>1.05</v>
      </c>
      <c r="H43" s="33">
        <v>1.1399999999999999</v>
      </c>
      <c r="I43" s="115">
        <v>2.0100000000000001E-8</v>
      </c>
      <c r="J43" s="33">
        <v>0.88300000000000001</v>
      </c>
      <c r="K43" s="33">
        <v>0.97099999999999997</v>
      </c>
      <c r="L43" s="33">
        <v>0.13</v>
      </c>
      <c r="M43" s="33">
        <v>2.9900000000000003E-8</v>
      </c>
      <c r="N43" s="33">
        <v>3.0799999999999998E-8</v>
      </c>
      <c r="O43" s="33">
        <v>0.84599999999999997</v>
      </c>
      <c r="P43" s="33">
        <v>0.14299999999999999</v>
      </c>
      <c r="Q43" s="33">
        <v>1.2</v>
      </c>
      <c r="R43" s="115">
        <v>0.71599999999999997</v>
      </c>
      <c r="S43" s="34">
        <v>0.92600000000000005</v>
      </c>
      <c r="AJ43" s="3"/>
    </row>
    <row r="44" spans="1:36" ht="15.75" thickBot="1">
      <c r="A44" s="106"/>
      <c r="B44" s="112"/>
      <c r="C44" s="112"/>
      <c r="D44" s="112"/>
      <c r="E44" s="35">
        <v>1.0032000000000001</v>
      </c>
      <c r="F44" s="35">
        <v>0.41839999999999999</v>
      </c>
      <c r="G44" s="35">
        <v>0.36849999999999999</v>
      </c>
      <c r="H44" s="35">
        <v>0.66069999999999995</v>
      </c>
      <c r="I44" s="116"/>
      <c r="J44" s="35">
        <v>0.58809999999999996</v>
      </c>
      <c r="K44" s="35">
        <v>0.41839999999999999</v>
      </c>
      <c r="L44" s="35">
        <v>1.597</v>
      </c>
      <c r="M44" s="35">
        <v>5.202</v>
      </c>
      <c r="N44" s="35">
        <v>1.6301000000000001</v>
      </c>
      <c r="O44" s="35">
        <v>0.46949999999999997</v>
      </c>
      <c r="P44" s="35">
        <v>1.3182</v>
      </c>
      <c r="Q44" s="35">
        <v>0.30740000000000001</v>
      </c>
      <c r="R44" s="116"/>
      <c r="S44" s="37">
        <v>1.7331000000000001</v>
      </c>
      <c r="AJ44" s="3"/>
    </row>
    <row r="45" spans="1:36">
      <c r="A45" s="105" t="s">
        <v>65</v>
      </c>
      <c r="B45" s="107"/>
      <c r="C45" s="107"/>
      <c r="D45" s="107"/>
      <c r="E45" s="107"/>
      <c r="F45" s="107"/>
      <c r="G45" s="107"/>
      <c r="H45" s="31">
        <v>2.6799999999999998E-8</v>
      </c>
      <c r="I45" s="31">
        <v>1.04</v>
      </c>
      <c r="J45" s="117">
        <v>3.77E-8</v>
      </c>
      <c r="K45" s="107"/>
      <c r="L45" s="107"/>
      <c r="M45" s="107"/>
      <c r="N45" s="107"/>
      <c r="O45" s="107"/>
      <c r="P45" s="107"/>
      <c r="Q45" s="107"/>
      <c r="R45" s="107"/>
      <c r="S45" s="109"/>
      <c r="AJ45" s="3"/>
    </row>
    <row r="46" spans="1:36" ht="15.75" thickBot="1">
      <c r="A46" s="106"/>
      <c r="B46" s="108"/>
      <c r="C46" s="108"/>
      <c r="D46" s="108"/>
      <c r="E46" s="108"/>
      <c r="F46" s="108"/>
      <c r="G46" s="108"/>
      <c r="H46" s="32">
        <v>1.5006999999999999</v>
      </c>
      <c r="I46" s="32">
        <v>0.33750000000000002</v>
      </c>
      <c r="J46" s="118"/>
      <c r="K46" s="108"/>
      <c r="L46" s="108"/>
      <c r="M46" s="108"/>
      <c r="N46" s="108"/>
      <c r="O46" s="108"/>
      <c r="P46" s="108"/>
      <c r="Q46" s="108"/>
      <c r="R46" s="108"/>
      <c r="S46" s="110"/>
      <c r="AJ46" s="3"/>
    </row>
    <row r="47" spans="1:36">
      <c r="A47" s="105" t="s">
        <v>66</v>
      </c>
      <c r="B47" s="111"/>
      <c r="C47" s="111"/>
      <c r="D47" s="111"/>
      <c r="E47" s="111"/>
      <c r="F47" s="111"/>
      <c r="G47" s="111"/>
      <c r="H47" s="33">
        <v>1.6400000000000001E-8</v>
      </c>
      <c r="I47" s="33">
        <v>3.4499999999999998E-8</v>
      </c>
      <c r="J47" s="33">
        <v>3.7100000000000001E-8</v>
      </c>
      <c r="K47" s="111"/>
      <c r="L47" s="111"/>
      <c r="M47" s="111"/>
      <c r="N47" s="111"/>
      <c r="O47" s="111"/>
      <c r="P47" s="111"/>
      <c r="Q47" s="111"/>
      <c r="R47" s="111"/>
      <c r="S47" s="119"/>
      <c r="AJ47" s="3"/>
    </row>
    <row r="48" spans="1:36" ht="15.75" thickBot="1">
      <c r="A48" s="106"/>
      <c r="B48" s="112"/>
      <c r="C48" s="112"/>
      <c r="D48" s="112"/>
      <c r="E48" s="112"/>
      <c r="F48" s="112"/>
      <c r="G48" s="112"/>
      <c r="H48" s="35">
        <v>1.6798</v>
      </c>
      <c r="I48" s="35">
        <v>2.2536</v>
      </c>
      <c r="J48" s="35">
        <v>0.69159999999999999</v>
      </c>
      <c r="K48" s="112"/>
      <c r="L48" s="112"/>
      <c r="M48" s="112"/>
      <c r="N48" s="112"/>
      <c r="O48" s="112"/>
      <c r="P48" s="112"/>
      <c r="Q48" s="112"/>
      <c r="R48" s="112"/>
      <c r="S48" s="120"/>
      <c r="AJ48" s="3"/>
    </row>
    <row r="49" spans="1:36">
      <c r="A49" s="105" t="s">
        <v>67</v>
      </c>
      <c r="B49" s="107"/>
      <c r="C49" s="107"/>
      <c r="D49" s="107"/>
      <c r="E49" s="107"/>
      <c r="F49" s="107"/>
      <c r="G49" s="107"/>
      <c r="H49" s="31">
        <v>5.39E-8</v>
      </c>
      <c r="I49" s="31">
        <v>4.3200000000000003E-8</v>
      </c>
      <c r="J49" s="31">
        <v>4.8100000000000001E-8</v>
      </c>
      <c r="K49" s="107"/>
      <c r="L49" s="107"/>
      <c r="M49" s="107"/>
      <c r="N49" s="107"/>
      <c r="O49" s="107"/>
      <c r="P49" s="107"/>
      <c r="Q49" s="107"/>
      <c r="R49" s="107"/>
      <c r="S49" s="109"/>
      <c r="AJ49" s="3"/>
    </row>
    <row r="50" spans="1:36" ht="15.75" thickBot="1">
      <c r="A50" s="106"/>
      <c r="B50" s="108"/>
      <c r="C50" s="108"/>
      <c r="D50" s="108"/>
      <c r="E50" s="108"/>
      <c r="F50" s="108"/>
      <c r="G50" s="108"/>
      <c r="H50" s="32">
        <v>1.1082000000000001</v>
      </c>
      <c r="I50" s="32">
        <v>1.0998000000000001</v>
      </c>
      <c r="J50" s="32">
        <v>1.5687</v>
      </c>
      <c r="K50" s="108"/>
      <c r="L50" s="108"/>
      <c r="M50" s="108"/>
      <c r="N50" s="108"/>
      <c r="O50" s="108"/>
      <c r="P50" s="108"/>
      <c r="Q50" s="108"/>
      <c r="R50" s="108"/>
      <c r="S50" s="110"/>
      <c r="AJ50" s="3"/>
    </row>
    <row r="51" spans="1:36" ht="24.75" thickBot="1">
      <c r="A51" s="16" t="s">
        <v>68</v>
      </c>
      <c r="B51" s="10" t="s">
        <v>48</v>
      </c>
      <c r="C51" s="10" t="s">
        <v>48</v>
      </c>
      <c r="D51" s="10" t="s">
        <v>48</v>
      </c>
      <c r="E51" s="10" t="s">
        <v>48</v>
      </c>
      <c r="F51" s="10" t="s">
        <v>48</v>
      </c>
      <c r="G51" s="10" t="s">
        <v>48</v>
      </c>
      <c r="H51" s="10" t="s">
        <v>48</v>
      </c>
      <c r="I51" s="10" t="s">
        <v>48</v>
      </c>
      <c r="J51" s="10" t="s">
        <v>48</v>
      </c>
      <c r="K51" s="10" t="s">
        <v>48</v>
      </c>
      <c r="L51" s="10" t="s">
        <v>48</v>
      </c>
      <c r="M51" s="10" t="s">
        <v>48</v>
      </c>
      <c r="N51" s="10" t="s">
        <v>48</v>
      </c>
      <c r="O51" s="10" t="s">
        <v>48</v>
      </c>
      <c r="P51" s="10" t="s">
        <v>48</v>
      </c>
      <c r="Q51" s="10" t="s">
        <v>48</v>
      </c>
      <c r="R51" s="10" t="s">
        <v>48</v>
      </c>
      <c r="S51" s="11" t="s">
        <v>48</v>
      </c>
      <c r="AJ51" s="3"/>
    </row>
    <row r="52" spans="1:36">
      <c r="A52" s="105" t="s">
        <v>69</v>
      </c>
      <c r="B52" s="31">
        <v>3.11</v>
      </c>
      <c r="C52" s="31">
        <v>3.34</v>
      </c>
      <c r="D52" s="107"/>
      <c r="E52" s="31">
        <v>2.2799999999999998</v>
      </c>
      <c r="F52" s="31">
        <v>1.79</v>
      </c>
      <c r="G52" s="107"/>
      <c r="H52" s="31">
        <v>2.3199999999999998</v>
      </c>
      <c r="I52" s="31">
        <v>1.78</v>
      </c>
      <c r="J52" s="107"/>
      <c r="K52" s="31">
        <v>1.79</v>
      </c>
      <c r="L52" s="31">
        <v>0</v>
      </c>
      <c r="M52" s="31">
        <v>3.54E-5</v>
      </c>
      <c r="N52" s="107"/>
      <c r="O52" s="107"/>
      <c r="P52" s="107"/>
      <c r="Q52" s="107"/>
      <c r="R52" s="107"/>
      <c r="S52" s="109"/>
      <c r="AJ52" s="3"/>
    </row>
    <row r="53" spans="1:36" ht="15.75" thickBot="1">
      <c r="A53" s="106"/>
      <c r="B53" s="32">
        <v>7.7700000000000005E-2</v>
      </c>
      <c r="C53" s="32">
        <v>8.48E-2</v>
      </c>
      <c r="D53" s="108"/>
      <c r="E53" s="32">
        <v>8.48E-2</v>
      </c>
      <c r="F53" s="32">
        <v>9.3899999999999997E-2</v>
      </c>
      <c r="G53" s="108"/>
      <c r="H53" s="32">
        <v>8.7400000000000005E-2</v>
      </c>
      <c r="I53" s="32">
        <v>0.106</v>
      </c>
      <c r="J53" s="108"/>
      <c r="K53" s="32">
        <v>9.3899999999999997E-2</v>
      </c>
      <c r="L53" s="40">
        <v>1688009386362320</v>
      </c>
      <c r="M53" s="40">
        <v>5630.25</v>
      </c>
      <c r="N53" s="108"/>
      <c r="O53" s="108"/>
      <c r="P53" s="108"/>
      <c r="Q53" s="108"/>
      <c r="R53" s="108"/>
      <c r="S53" s="110"/>
      <c r="AJ53" s="3"/>
    </row>
    <row r="54" spans="1:36">
      <c r="A54" s="105" t="s">
        <v>70</v>
      </c>
      <c r="B54" s="111"/>
      <c r="C54" s="111"/>
      <c r="D54" s="33">
        <v>3.44</v>
      </c>
      <c r="E54" s="111"/>
      <c r="F54" s="111"/>
      <c r="G54" s="33">
        <v>1.97</v>
      </c>
      <c r="H54" s="111"/>
      <c r="I54" s="111"/>
      <c r="J54" s="33">
        <v>1.96</v>
      </c>
      <c r="K54" s="111"/>
      <c r="L54" s="111"/>
      <c r="M54" s="111"/>
      <c r="N54" s="111"/>
      <c r="O54" s="33">
        <v>1.94</v>
      </c>
      <c r="P54" s="33">
        <v>0</v>
      </c>
      <c r="Q54" s="33">
        <v>7.0600000000000003E-4</v>
      </c>
      <c r="R54" s="33">
        <v>0</v>
      </c>
      <c r="S54" s="119"/>
      <c r="AJ54" s="3"/>
    </row>
    <row r="55" spans="1:36" ht="15.75" thickBot="1">
      <c r="A55" s="106"/>
      <c r="B55" s="112"/>
      <c r="C55" s="112"/>
      <c r="D55" s="35">
        <v>8.4699999999999998E-2</v>
      </c>
      <c r="E55" s="112"/>
      <c r="F55" s="112"/>
      <c r="G55" s="35">
        <v>0.1033</v>
      </c>
      <c r="H55" s="112"/>
      <c r="I55" s="112"/>
      <c r="J55" s="35">
        <v>0.1085</v>
      </c>
      <c r="K55" s="112"/>
      <c r="L55" s="112"/>
      <c r="M55" s="112"/>
      <c r="N55" s="112"/>
      <c r="O55" s="35">
        <v>9.8400000000000001E-2</v>
      </c>
      <c r="P55" s="36">
        <v>1058047211730990</v>
      </c>
      <c r="Q55" s="35">
        <v>371.08300000000003</v>
      </c>
      <c r="R55" s="36">
        <v>2305013417250530</v>
      </c>
      <c r="S55" s="120"/>
      <c r="AJ55" s="3"/>
    </row>
    <row r="56" spans="1:36">
      <c r="A56" s="105" t="s">
        <v>71</v>
      </c>
      <c r="B56" s="107"/>
      <c r="C56" s="107"/>
      <c r="D56" s="31">
        <v>3.26</v>
      </c>
      <c r="E56" s="107"/>
      <c r="F56" s="107"/>
      <c r="G56" s="31">
        <v>2.48</v>
      </c>
      <c r="H56" s="107"/>
      <c r="I56" s="107"/>
      <c r="J56" s="31">
        <v>2.5</v>
      </c>
      <c r="K56" s="107"/>
      <c r="L56" s="107"/>
      <c r="M56" s="107"/>
      <c r="N56" s="107"/>
      <c r="O56" s="31">
        <v>2.46</v>
      </c>
      <c r="P56" s="31">
        <v>0.38500000000000001</v>
      </c>
      <c r="Q56" s="31">
        <v>0.69599999999999995</v>
      </c>
      <c r="R56" s="107"/>
      <c r="S56" s="109"/>
      <c r="AJ56" s="3"/>
    </row>
    <row r="57" spans="1:36" ht="15.75" thickBot="1">
      <c r="A57" s="106"/>
      <c r="B57" s="108"/>
      <c r="C57" s="108"/>
      <c r="D57" s="32">
        <v>8.3199999999999996E-2</v>
      </c>
      <c r="E57" s="108"/>
      <c r="F57" s="108"/>
      <c r="G57" s="32">
        <v>8.9399999999999993E-2</v>
      </c>
      <c r="H57" s="108"/>
      <c r="I57" s="108"/>
      <c r="J57" s="32">
        <v>9.2999999999999999E-2</v>
      </c>
      <c r="K57" s="108"/>
      <c r="L57" s="108"/>
      <c r="M57" s="108"/>
      <c r="N57" s="108"/>
      <c r="O57" s="32">
        <v>9.1499999999999998E-2</v>
      </c>
      <c r="P57" s="32">
        <v>0.68799999999999994</v>
      </c>
      <c r="Q57" s="32">
        <v>0.4083</v>
      </c>
      <c r="R57" s="108"/>
      <c r="S57" s="110"/>
      <c r="AJ57" s="3"/>
    </row>
    <row r="58" spans="1:36">
      <c r="A58" s="105" t="s">
        <v>72</v>
      </c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33">
        <v>9.3799999999999994E-2</v>
      </c>
      <c r="M58" s="33">
        <v>9.6100000000000005E-2</v>
      </c>
      <c r="N58" s="33">
        <v>9.6600000000000005E-2</v>
      </c>
      <c r="O58" s="111"/>
      <c r="P58" s="111"/>
      <c r="Q58" s="111"/>
      <c r="R58" s="111"/>
      <c r="S58" s="119"/>
      <c r="AJ58" s="3"/>
    </row>
    <row r="59" spans="1:36" ht="15.75" thickBot="1">
      <c r="A59" s="106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35">
        <v>0.26050000000000001</v>
      </c>
      <c r="M59" s="35">
        <v>9.2200000000000004E-2</v>
      </c>
      <c r="N59" s="35">
        <v>8.7099999999999997E-2</v>
      </c>
      <c r="O59" s="112"/>
      <c r="P59" s="112"/>
      <c r="Q59" s="112"/>
      <c r="R59" s="112"/>
      <c r="S59" s="120"/>
      <c r="AJ59" s="3"/>
    </row>
    <row r="60" spans="1:36">
      <c r="A60" s="105" t="s">
        <v>73</v>
      </c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31">
        <v>0.10199999999999999</v>
      </c>
      <c r="Q60" s="31">
        <v>0.106</v>
      </c>
      <c r="R60" s="31">
        <v>0.10199999999999999</v>
      </c>
      <c r="S60" s="38">
        <v>0.10199999999999999</v>
      </c>
      <c r="AJ60" s="3"/>
    </row>
    <row r="61" spans="1:36" ht="15.75" thickBot="1">
      <c r="A61" s="106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32">
        <v>0.16500000000000001</v>
      </c>
      <c r="Q61" s="32">
        <v>0.1056</v>
      </c>
      <c r="R61" s="32">
        <v>0.25330000000000003</v>
      </c>
      <c r="S61" s="41">
        <v>0.10390000000000001</v>
      </c>
      <c r="AJ61" s="3"/>
    </row>
    <row r="62" spans="1:36">
      <c r="A62" s="105" t="s">
        <v>74</v>
      </c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33">
        <v>0.13400000000000001</v>
      </c>
      <c r="Q62" s="33">
        <v>0.151</v>
      </c>
      <c r="R62" s="33">
        <v>0.17</v>
      </c>
      <c r="S62" s="34">
        <v>0.17199999999999999</v>
      </c>
      <c r="AJ62" s="3"/>
    </row>
    <row r="63" spans="1:36" ht="15.75" thickBot="1">
      <c r="A63" s="106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35">
        <v>0.17949999999999999</v>
      </c>
      <c r="Q63" s="35">
        <v>0.1144</v>
      </c>
      <c r="R63" s="35">
        <v>0.1104</v>
      </c>
      <c r="S63" s="37">
        <v>9.7600000000000006E-2</v>
      </c>
      <c r="AJ63" s="3"/>
    </row>
    <row r="64" spans="1:36" ht="15.75" thickBot="1">
      <c r="A64" s="16" t="s">
        <v>75</v>
      </c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7"/>
      <c r="AJ64" s="3"/>
    </row>
    <row r="65" spans="1:36" ht="48.75" thickBot="1">
      <c r="A65" s="15" t="s">
        <v>76</v>
      </c>
      <c r="B65" s="29">
        <v>1000</v>
      </c>
      <c r="C65" s="29">
        <v>1000</v>
      </c>
      <c r="D65" s="29">
        <v>3000</v>
      </c>
      <c r="E65" s="29">
        <v>1000</v>
      </c>
      <c r="F65" s="29">
        <v>1000</v>
      </c>
      <c r="G65" s="29">
        <v>1000</v>
      </c>
      <c r="H65" s="29">
        <v>1000</v>
      </c>
      <c r="I65" s="29">
        <v>1000</v>
      </c>
      <c r="J65" s="29">
        <v>1000</v>
      </c>
      <c r="K65" s="29">
        <v>1000</v>
      </c>
      <c r="L65" s="28"/>
      <c r="M65" s="29">
        <v>1000</v>
      </c>
      <c r="N65" s="29">
        <v>1000</v>
      </c>
      <c r="O65" s="28"/>
      <c r="P65" s="28"/>
      <c r="Q65" s="28"/>
      <c r="R65" s="28"/>
      <c r="S65" s="42"/>
      <c r="AJ65" s="3"/>
    </row>
    <row r="66" spans="1:36" ht="48.75" thickBot="1">
      <c r="A66" s="15" t="s">
        <v>77</v>
      </c>
      <c r="B66" s="1">
        <v>2000</v>
      </c>
      <c r="C66" s="1">
        <v>2000</v>
      </c>
      <c r="D66" s="1">
        <v>5000</v>
      </c>
      <c r="E66" s="1">
        <v>5000</v>
      </c>
      <c r="F66" s="1">
        <v>5000</v>
      </c>
      <c r="G66" s="1">
        <v>5000</v>
      </c>
      <c r="H66" s="1">
        <v>5000</v>
      </c>
      <c r="I66" s="1">
        <v>5000</v>
      </c>
      <c r="J66" s="1">
        <v>5000</v>
      </c>
      <c r="K66" s="1">
        <v>5000</v>
      </c>
      <c r="L66" s="8"/>
      <c r="M66" s="1">
        <v>5000</v>
      </c>
      <c r="N66" s="1">
        <v>5000</v>
      </c>
      <c r="O66" s="8"/>
      <c r="P66" s="8"/>
      <c r="Q66" s="8"/>
      <c r="R66" s="8"/>
      <c r="S66" s="9"/>
      <c r="AJ66" s="3"/>
    </row>
    <row r="67" spans="1:36" ht="48.75" thickBot="1">
      <c r="A67" s="15" t="s">
        <v>78</v>
      </c>
      <c r="B67" s="29">
        <v>2000</v>
      </c>
      <c r="C67" s="29">
        <v>2000</v>
      </c>
      <c r="D67" s="29">
        <v>5000</v>
      </c>
      <c r="E67" s="29">
        <v>2000</v>
      </c>
      <c r="F67" s="29">
        <v>2000</v>
      </c>
      <c r="G67" s="29">
        <v>2000</v>
      </c>
      <c r="H67" s="29">
        <v>5000</v>
      </c>
      <c r="I67" s="29">
        <v>5000</v>
      </c>
      <c r="J67" s="29">
        <v>5000</v>
      </c>
      <c r="K67" s="29">
        <v>2000</v>
      </c>
      <c r="L67" s="28"/>
      <c r="M67" s="29">
        <v>2000</v>
      </c>
      <c r="N67" s="29">
        <v>2000</v>
      </c>
      <c r="O67" s="28"/>
      <c r="P67" s="28"/>
      <c r="Q67" s="28"/>
      <c r="R67" s="28"/>
      <c r="S67" s="42"/>
      <c r="AJ67" s="3"/>
    </row>
    <row r="68" spans="1:36" ht="24.75" thickBot="1">
      <c r="A68" s="15" t="s">
        <v>79</v>
      </c>
      <c r="B68" s="1">
        <v>2000</v>
      </c>
      <c r="C68" s="1">
        <v>2000</v>
      </c>
      <c r="D68" s="1">
        <v>2000</v>
      </c>
      <c r="E68" s="1">
        <v>2000</v>
      </c>
      <c r="F68" s="1">
        <v>2000</v>
      </c>
      <c r="G68" s="1">
        <v>2000</v>
      </c>
      <c r="H68" s="1">
        <v>2000</v>
      </c>
      <c r="I68" s="1">
        <v>2000</v>
      </c>
      <c r="J68" s="1">
        <v>2000</v>
      </c>
      <c r="K68" s="1">
        <v>2000</v>
      </c>
      <c r="L68" s="8"/>
      <c r="M68" s="1">
        <v>2000</v>
      </c>
      <c r="N68" s="1">
        <v>2000</v>
      </c>
      <c r="O68" s="8"/>
      <c r="P68" s="8"/>
      <c r="Q68" s="8"/>
      <c r="R68" s="8"/>
      <c r="S68" s="9"/>
      <c r="AJ68" s="3"/>
    </row>
    <row r="69" spans="1:36" ht="48.75" thickBot="1">
      <c r="A69" s="15" t="s">
        <v>80</v>
      </c>
      <c r="B69" s="29">
        <v>1000</v>
      </c>
      <c r="C69" s="29">
        <v>1000</v>
      </c>
      <c r="D69" s="29">
        <v>3000</v>
      </c>
      <c r="E69" s="29">
        <v>1000</v>
      </c>
      <c r="F69" s="29">
        <v>1000</v>
      </c>
      <c r="G69" s="29">
        <v>1000</v>
      </c>
      <c r="H69" s="29">
        <v>1000</v>
      </c>
      <c r="I69" s="29">
        <v>1000</v>
      </c>
      <c r="J69" s="29">
        <v>1000</v>
      </c>
      <c r="K69" s="29">
        <v>1000</v>
      </c>
      <c r="L69" s="28"/>
      <c r="M69" s="29">
        <v>1000</v>
      </c>
      <c r="N69" s="29">
        <v>1000</v>
      </c>
      <c r="O69" s="28"/>
      <c r="P69" s="28"/>
      <c r="Q69" s="28"/>
      <c r="R69" s="28"/>
      <c r="S69" s="42"/>
      <c r="AJ69" s="3"/>
    </row>
    <row r="70" spans="1:36" ht="36.75" thickBot="1">
      <c r="A70" s="15" t="s">
        <v>81</v>
      </c>
      <c r="B70" s="1">
        <v>0.8</v>
      </c>
      <c r="C70" s="1">
        <v>0.8</v>
      </c>
      <c r="D70" s="1">
        <v>0.7</v>
      </c>
      <c r="E70" s="1">
        <v>0.8</v>
      </c>
      <c r="F70" s="1">
        <v>0.8</v>
      </c>
      <c r="G70" s="1">
        <v>0.8</v>
      </c>
      <c r="H70" s="1">
        <v>0.8</v>
      </c>
      <c r="I70" s="1">
        <v>0.8</v>
      </c>
      <c r="J70" s="1">
        <v>0.8</v>
      </c>
      <c r="K70" s="1">
        <v>0.8</v>
      </c>
      <c r="L70" s="8"/>
      <c r="M70" s="1">
        <v>0.8</v>
      </c>
      <c r="N70" s="1">
        <v>0.8</v>
      </c>
      <c r="O70" s="8"/>
      <c r="P70" s="8"/>
      <c r="Q70" s="8"/>
      <c r="R70" s="8"/>
      <c r="S70" s="9"/>
      <c r="AJ70" s="3"/>
    </row>
    <row r="71" spans="1:36" ht="48.75" thickBot="1">
      <c r="A71" s="15" t="s">
        <v>82</v>
      </c>
      <c r="B71" s="29">
        <v>0.8</v>
      </c>
      <c r="C71" s="29">
        <v>0.8</v>
      </c>
      <c r="D71" s="29">
        <v>0.7</v>
      </c>
      <c r="E71" s="29">
        <v>0.8</v>
      </c>
      <c r="F71" s="29">
        <v>0.8</v>
      </c>
      <c r="G71" s="29">
        <v>0.8</v>
      </c>
      <c r="H71" s="29">
        <v>0.8</v>
      </c>
      <c r="I71" s="29">
        <v>0.8</v>
      </c>
      <c r="J71" s="29">
        <v>0.8</v>
      </c>
      <c r="K71" s="29">
        <v>0.8</v>
      </c>
      <c r="L71" s="28"/>
      <c r="M71" s="29">
        <v>0.8</v>
      </c>
      <c r="N71" s="29">
        <v>0.8</v>
      </c>
      <c r="O71" s="28"/>
      <c r="P71" s="28"/>
      <c r="Q71" s="28"/>
      <c r="R71" s="28"/>
      <c r="S71" s="42"/>
      <c r="AJ71" s="3"/>
    </row>
    <row r="72" spans="1:36" ht="24.75" thickBot="1">
      <c r="A72" s="15" t="s">
        <v>83</v>
      </c>
      <c r="B72" s="8"/>
      <c r="C72" s="8"/>
      <c r="D72" s="1">
        <v>100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9"/>
      <c r="AJ72" s="3"/>
    </row>
    <row r="73" spans="1:36" ht="15.75" thickBot="1">
      <c r="A73" s="16" t="s">
        <v>84</v>
      </c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7"/>
      <c r="AJ73" s="3"/>
    </row>
    <row r="74" spans="1:36">
      <c r="A74" s="105" t="s">
        <v>85</v>
      </c>
      <c r="B74" s="43" t="s">
        <v>86</v>
      </c>
      <c r="C74" s="43" t="s">
        <v>86</v>
      </c>
      <c r="D74" s="43" t="s">
        <v>86</v>
      </c>
      <c r="E74" s="43" t="s">
        <v>86</v>
      </c>
      <c r="F74" s="43" t="s">
        <v>86</v>
      </c>
      <c r="G74" s="43" t="s">
        <v>86</v>
      </c>
      <c r="H74" s="43" t="s">
        <v>86</v>
      </c>
      <c r="I74" s="43" t="s">
        <v>86</v>
      </c>
      <c r="J74" s="43" t="s">
        <v>86</v>
      </c>
      <c r="K74" s="43" t="s">
        <v>86</v>
      </c>
      <c r="L74" s="43" t="s">
        <v>86</v>
      </c>
      <c r="M74" s="43" t="s">
        <v>86</v>
      </c>
      <c r="N74" s="43" t="s">
        <v>86</v>
      </c>
      <c r="O74" s="43" t="s">
        <v>86</v>
      </c>
      <c r="P74" s="43" t="s">
        <v>86</v>
      </c>
      <c r="Q74" s="43" t="s">
        <v>86</v>
      </c>
      <c r="R74" s="43" t="s">
        <v>86</v>
      </c>
      <c r="S74" s="44" t="s">
        <v>86</v>
      </c>
      <c r="AJ74" s="3"/>
    </row>
    <row r="75" spans="1:36" ht="24">
      <c r="A75" s="123"/>
      <c r="B75" s="45" t="s">
        <v>87</v>
      </c>
      <c r="C75" s="45" t="s">
        <v>87</v>
      </c>
      <c r="D75" s="45" t="s">
        <v>87</v>
      </c>
      <c r="E75" s="45" t="s">
        <v>87</v>
      </c>
      <c r="F75" s="45" t="s">
        <v>87</v>
      </c>
      <c r="G75" s="45" t="s">
        <v>87</v>
      </c>
      <c r="H75" s="45" t="s">
        <v>87</v>
      </c>
      <c r="I75" s="45" t="s">
        <v>87</v>
      </c>
      <c r="J75" s="45" t="s">
        <v>113</v>
      </c>
      <c r="K75" s="45" t="s">
        <v>87</v>
      </c>
      <c r="L75" s="45" t="s">
        <v>87</v>
      </c>
      <c r="M75" s="45" t="s">
        <v>87</v>
      </c>
      <c r="N75" s="45" t="s">
        <v>87</v>
      </c>
      <c r="O75" s="45" t="s">
        <v>87</v>
      </c>
      <c r="P75" s="45" t="s">
        <v>87</v>
      </c>
      <c r="Q75" s="45" t="s">
        <v>87</v>
      </c>
      <c r="R75" s="45" t="s">
        <v>87</v>
      </c>
      <c r="S75" s="46" t="s">
        <v>87</v>
      </c>
      <c r="AJ75" s="3"/>
    </row>
    <row r="76" spans="1:36" ht="24">
      <c r="A76" s="123"/>
      <c r="B76" s="45" t="s">
        <v>88</v>
      </c>
      <c r="C76" s="45" t="s">
        <v>88</v>
      </c>
      <c r="D76" s="45" t="s">
        <v>88</v>
      </c>
      <c r="E76" s="45" t="s">
        <v>88</v>
      </c>
      <c r="F76" s="45" t="s">
        <v>88</v>
      </c>
      <c r="G76" s="45" t="s">
        <v>88</v>
      </c>
      <c r="H76" s="45" t="s">
        <v>88</v>
      </c>
      <c r="I76" s="45" t="s">
        <v>88</v>
      </c>
      <c r="J76" s="45" t="s">
        <v>87</v>
      </c>
      <c r="K76" s="45" t="s">
        <v>88</v>
      </c>
      <c r="L76" s="45" t="s">
        <v>88</v>
      </c>
      <c r="M76" s="45" t="s">
        <v>88</v>
      </c>
      <c r="N76" s="45" t="s">
        <v>88</v>
      </c>
      <c r="O76" s="45" t="s">
        <v>88</v>
      </c>
      <c r="P76" s="45" t="s">
        <v>88</v>
      </c>
      <c r="Q76" s="45" t="s">
        <v>88</v>
      </c>
      <c r="R76" s="45" t="s">
        <v>88</v>
      </c>
      <c r="S76" s="46" t="s">
        <v>88</v>
      </c>
      <c r="AJ76" s="3"/>
    </row>
    <row r="77" spans="1:36">
      <c r="A77" s="123"/>
      <c r="B77" s="45" t="s">
        <v>89</v>
      </c>
      <c r="C77" s="45" t="s">
        <v>89</v>
      </c>
      <c r="D77" s="45" t="s">
        <v>89</v>
      </c>
      <c r="E77" s="45" t="s">
        <v>103</v>
      </c>
      <c r="F77" s="45" t="s">
        <v>103</v>
      </c>
      <c r="G77" s="45" t="s">
        <v>89</v>
      </c>
      <c r="H77" s="45" t="s">
        <v>103</v>
      </c>
      <c r="I77" s="45" t="s">
        <v>103</v>
      </c>
      <c r="J77" s="45" t="s">
        <v>88</v>
      </c>
      <c r="K77" s="45" t="s">
        <v>103</v>
      </c>
      <c r="L77" s="45" t="s">
        <v>103</v>
      </c>
      <c r="M77" s="45" t="s">
        <v>103</v>
      </c>
      <c r="N77" s="45" t="s">
        <v>103</v>
      </c>
      <c r="O77" s="45" t="s">
        <v>89</v>
      </c>
      <c r="P77" s="45" t="s">
        <v>89</v>
      </c>
      <c r="Q77" s="45" t="s">
        <v>89</v>
      </c>
      <c r="R77" s="45" t="s">
        <v>89</v>
      </c>
      <c r="S77" s="46" t="s">
        <v>89</v>
      </c>
      <c r="AJ77" s="3"/>
    </row>
    <row r="78" spans="1:36">
      <c r="A78" s="123"/>
      <c r="B78" s="45" t="s">
        <v>90</v>
      </c>
      <c r="C78" s="45" t="s">
        <v>90</v>
      </c>
      <c r="D78" s="45" t="s">
        <v>90</v>
      </c>
      <c r="E78" s="45" t="s">
        <v>104</v>
      </c>
      <c r="F78" s="45" t="s">
        <v>104</v>
      </c>
      <c r="G78" s="45" t="s">
        <v>90</v>
      </c>
      <c r="H78" s="45" t="s">
        <v>104</v>
      </c>
      <c r="I78" s="45" t="s">
        <v>104</v>
      </c>
      <c r="J78" s="45" t="s">
        <v>89</v>
      </c>
      <c r="K78" s="45" t="s">
        <v>104</v>
      </c>
      <c r="L78" s="45" t="s">
        <v>104</v>
      </c>
      <c r="M78" s="45" t="s">
        <v>104</v>
      </c>
      <c r="N78" s="45" t="s">
        <v>104</v>
      </c>
      <c r="O78" s="45" t="s">
        <v>90</v>
      </c>
      <c r="P78" s="45" t="s">
        <v>90</v>
      </c>
      <c r="Q78" s="45" t="s">
        <v>90</v>
      </c>
      <c r="R78" s="45" t="s">
        <v>90</v>
      </c>
      <c r="S78" s="46" t="s">
        <v>90</v>
      </c>
      <c r="AJ78" s="3"/>
    </row>
    <row r="79" spans="1:36">
      <c r="A79" s="123"/>
      <c r="B79" s="45" t="s">
        <v>91</v>
      </c>
      <c r="C79" s="45" t="s">
        <v>91</v>
      </c>
      <c r="D79" s="45" t="s">
        <v>103</v>
      </c>
      <c r="E79" s="45" t="s">
        <v>91</v>
      </c>
      <c r="F79" s="45" t="s">
        <v>91</v>
      </c>
      <c r="G79" s="45" t="s">
        <v>103</v>
      </c>
      <c r="H79" s="45" t="s">
        <v>91</v>
      </c>
      <c r="I79" s="45" t="s">
        <v>91</v>
      </c>
      <c r="J79" s="45" t="s">
        <v>90</v>
      </c>
      <c r="K79" s="45" t="s">
        <v>91</v>
      </c>
      <c r="L79" s="45" t="s">
        <v>91</v>
      </c>
      <c r="M79" s="45" t="s">
        <v>91</v>
      </c>
      <c r="N79" s="45" t="s">
        <v>91</v>
      </c>
      <c r="O79" s="45" t="s">
        <v>103</v>
      </c>
      <c r="P79" s="45" t="s">
        <v>103</v>
      </c>
      <c r="Q79" s="45" t="s">
        <v>103</v>
      </c>
      <c r="R79" s="45" t="s">
        <v>103</v>
      </c>
      <c r="S79" s="46" t="s">
        <v>103</v>
      </c>
      <c r="AJ79" s="3"/>
    </row>
    <row r="80" spans="1:36">
      <c r="A80" s="123"/>
      <c r="B80" s="45" t="s">
        <v>92</v>
      </c>
      <c r="C80" s="45" t="s">
        <v>92</v>
      </c>
      <c r="D80" s="45" t="s">
        <v>104</v>
      </c>
      <c r="E80" s="45" t="s">
        <v>92</v>
      </c>
      <c r="F80" s="45" t="s">
        <v>92</v>
      </c>
      <c r="G80" s="45" t="s">
        <v>104</v>
      </c>
      <c r="H80" s="45" t="s">
        <v>92</v>
      </c>
      <c r="I80" s="45" t="s">
        <v>92</v>
      </c>
      <c r="J80" s="45" t="s">
        <v>103</v>
      </c>
      <c r="K80" s="45" t="s">
        <v>92</v>
      </c>
      <c r="L80" s="45" t="s">
        <v>92</v>
      </c>
      <c r="M80" s="45" t="s">
        <v>92</v>
      </c>
      <c r="N80" s="45" t="s">
        <v>92</v>
      </c>
      <c r="O80" s="45" t="s">
        <v>104</v>
      </c>
      <c r="P80" s="45" t="s">
        <v>104</v>
      </c>
      <c r="Q80" s="45" t="s">
        <v>104</v>
      </c>
      <c r="R80" s="45" t="s">
        <v>104</v>
      </c>
      <c r="S80" s="46" t="s">
        <v>104</v>
      </c>
      <c r="AJ80" s="3"/>
    </row>
    <row r="81" spans="1:36">
      <c r="A81" s="123"/>
      <c r="B81" s="45" t="s">
        <v>93</v>
      </c>
      <c r="C81" s="45" t="s">
        <v>93</v>
      </c>
      <c r="D81" s="45" t="s">
        <v>91</v>
      </c>
      <c r="E81" s="45" t="s">
        <v>105</v>
      </c>
      <c r="F81" s="45" t="s">
        <v>105</v>
      </c>
      <c r="G81" s="45" t="s">
        <v>91</v>
      </c>
      <c r="H81" s="45" t="s">
        <v>105</v>
      </c>
      <c r="I81" s="45" t="s">
        <v>105</v>
      </c>
      <c r="J81" s="45" t="s">
        <v>104</v>
      </c>
      <c r="K81" s="45" t="s">
        <v>105</v>
      </c>
      <c r="L81" s="45" t="s">
        <v>105</v>
      </c>
      <c r="M81" s="45" t="s">
        <v>105</v>
      </c>
      <c r="N81" s="45" t="s">
        <v>105</v>
      </c>
      <c r="O81" s="45" t="s">
        <v>91</v>
      </c>
      <c r="P81" s="45" t="s">
        <v>91</v>
      </c>
      <c r="Q81" s="45" t="s">
        <v>91</v>
      </c>
      <c r="R81" s="45" t="s">
        <v>91</v>
      </c>
      <c r="S81" s="46" t="s">
        <v>91</v>
      </c>
      <c r="AJ81" s="3"/>
    </row>
    <row r="82" spans="1:36">
      <c r="A82" s="123"/>
      <c r="B82" s="45" t="s">
        <v>94</v>
      </c>
      <c r="C82" s="45" t="s">
        <v>94</v>
      </c>
      <c r="D82" s="45" t="s">
        <v>92</v>
      </c>
      <c r="E82" s="45" t="s">
        <v>106</v>
      </c>
      <c r="F82" s="45" t="s">
        <v>106</v>
      </c>
      <c r="G82" s="45" t="s">
        <v>92</v>
      </c>
      <c r="H82" s="45" t="s">
        <v>106</v>
      </c>
      <c r="I82" s="45" t="s">
        <v>106</v>
      </c>
      <c r="J82" s="45" t="s">
        <v>91</v>
      </c>
      <c r="K82" s="45" t="s">
        <v>106</v>
      </c>
      <c r="L82" s="45" t="s">
        <v>106</v>
      </c>
      <c r="M82" s="45" t="s">
        <v>106</v>
      </c>
      <c r="N82" s="45" t="s">
        <v>106</v>
      </c>
      <c r="O82" s="45" t="s">
        <v>92</v>
      </c>
      <c r="P82" s="45" t="s">
        <v>92</v>
      </c>
      <c r="Q82" s="45" t="s">
        <v>92</v>
      </c>
      <c r="R82" s="45" t="s">
        <v>92</v>
      </c>
      <c r="S82" s="46" t="s">
        <v>92</v>
      </c>
      <c r="AJ82" s="3"/>
    </row>
    <row r="83" spans="1:36">
      <c r="A83" s="123"/>
      <c r="B83" s="45" t="s">
        <v>95</v>
      </c>
      <c r="C83" s="45" t="s">
        <v>95</v>
      </c>
      <c r="D83" s="45" t="s">
        <v>93</v>
      </c>
      <c r="E83" s="45" t="s">
        <v>107</v>
      </c>
      <c r="F83" s="45" t="s">
        <v>107</v>
      </c>
      <c r="G83" s="45" t="s">
        <v>93</v>
      </c>
      <c r="H83" s="45" t="s">
        <v>107</v>
      </c>
      <c r="I83" s="45" t="s">
        <v>107</v>
      </c>
      <c r="J83" s="45" t="s">
        <v>92</v>
      </c>
      <c r="K83" s="45" t="s">
        <v>107</v>
      </c>
      <c r="L83" s="45" t="s">
        <v>107</v>
      </c>
      <c r="M83" s="45" t="s">
        <v>107</v>
      </c>
      <c r="N83" s="45" t="s">
        <v>107</v>
      </c>
      <c r="O83" s="45" t="s">
        <v>93</v>
      </c>
      <c r="P83" s="45" t="s">
        <v>93</v>
      </c>
      <c r="Q83" s="45" t="s">
        <v>93</v>
      </c>
      <c r="R83" s="45" t="s">
        <v>93</v>
      </c>
      <c r="S83" s="46" t="s">
        <v>93</v>
      </c>
      <c r="AJ83" s="3"/>
    </row>
    <row r="84" spans="1:36">
      <c r="A84" s="123"/>
      <c r="B84" s="45" t="s">
        <v>96</v>
      </c>
      <c r="C84" s="45" t="s">
        <v>96</v>
      </c>
      <c r="D84" s="45" t="s">
        <v>105</v>
      </c>
      <c r="E84" s="45" t="s">
        <v>96</v>
      </c>
      <c r="F84" s="45" t="s">
        <v>96</v>
      </c>
      <c r="G84" s="45" t="s">
        <v>105</v>
      </c>
      <c r="H84" s="45" t="s">
        <v>96</v>
      </c>
      <c r="I84" s="45" t="s">
        <v>96</v>
      </c>
      <c r="J84" s="45" t="s">
        <v>93</v>
      </c>
      <c r="K84" s="45" t="s">
        <v>96</v>
      </c>
      <c r="L84" s="45" t="s">
        <v>96</v>
      </c>
      <c r="M84" s="45" t="s">
        <v>96</v>
      </c>
      <c r="N84" s="45" t="s">
        <v>96</v>
      </c>
      <c r="O84" s="45" t="s">
        <v>105</v>
      </c>
      <c r="P84" s="45" t="s">
        <v>105</v>
      </c>
      <c r="Q84" s="45" t="s">
        <v>105</v>
      </c>
      <c r="R84" s="45" t="s">
        <v>105</v>
      </c>
      <c r="S84" s="46" t="s">
        <v>105</v>
      </c>
      <c r="AJ84" s="3"/>
    </row>
    <row r="85" spans="1:36">
      <c r="A85" s="123"/>
      <c r="B85" s="45" t="s">
        <v>97</v>
      </c>
      <c r="C85" s="45" t="s">
        <v>97</v>
      </c>
      <c r="D85" s="45" t="s">
        <v>94</v>
      </c>
      <c r="E85" s="45" t="s">
        <v>108</v>
      </c>
      <c r="F85" s="45" t="s">
        <v>108</v>
      </c>
      <c r="G85" s="45" t="s">
        <v>94</v>
      </c>
      <c r="H85" s="45" t="s">
        <v>108</v>
      </c>
      <c r="I85" s="45" t="s">
        <v>108</v>
      </c>
      <c r="J85" s="45" t="s">
        <v>105</v>
      </c>
      <c r="K85" s="45" t="s">
        <v>108</v>
      </c>
      <c r="L85" s="45" t="s">
        <v>108</v>
      </c>
      <c r="M85" s="45" t="s">
        <v>108</v>
      </c>
      <c r="N85" s="45" t="s">
        <v>108</v>
      </c>
      <c r="O85" s="45" t="s">
        <v>94</v>
      </c>
      <c r="P85" s="45" t="s">
        <v>94</v>
      </c>
      <c r="Q85" s="45" t="s">
        <v>94</v>
      </c>
      <c r="R85" s="45" t="s">
        <v>94</v>
      </c>
      <c r="S85" s="46" t="s">
        <v>94</v>
      </c>
      <c r="AJ85" s="3"/>
    </row>
    <row r="86" spans="1:36">
      <c r="A86" s="123"/>
      <c r="B86" s="45" t="s">
        <v>98</v>
      </c>
      <c r="C86" s="45" t="s">
        <v>98</v>
      </c>
      <c r="D86" s="45" t="s">
        <v>106</v>
      </c>
      <c r="E86" s="45" t="s">
        <v>98</v>
      </c>
      <c r="F86" s="45" t="s">
        <v>98</v>
      </c>
      <c r="G86" s="45" t="s">
        <v>106</v>
      </c>
      <c r="H86" s="45" t="s">
        <v>98</v>
      </c>
      <c r="I86" s="45" t="s">
        <v>98</v>
      </c>
      <c r="J86" s="45" t="s">
        <v>94</v>
      </c>
      <c r="K86" s="45" t="s">
        <v>98</v>
      </c>
      <c r="L86" s="45" t="s">
        <v>98</v>
      </c>
      <c r="M86" s="45" t="s">
        <v>98</v>
      </c>
      <c r="N86" s="45" t="s">
        <v>98</v>
      </c>
      <c r="O86" s="45" t="s">
        <v>106</v>
      </c>
      <c r="P86" s="45" t="s">
        <v>106</v>
      </c>
      <c r="Q86" s="45" t="s">
        <v>106</v>
      </c>
      <c r="R86" s="45" t="s">
        <v>106</v>
      </c>
      <c r="S86" s="46" t="s">
        <v>106</v>
      </c>
      <c r="AJ86" s="3"/>
    </row>
    <row r="87" spans="1:36">
      <c r="A87" s="123"/>
      <c r="B87" s="45" t="s">
        <v>99</v>
      </c>
      <c r="C87" s="45" t="s">
        <v>99</v>
      </c>
      <c r="D87" s="45" t="s">
        <v>95</v>
      </c>
      <c r="E87" s="45" t="s">
        <v>109</v>
      </c>
      <c r="F87" s="45" t="s">
        <v>109</v>
      </c>
      <c r="G87" s="45" t="s">
        <v>95</v>
      </c>
      <c r="H87" s="45" t="s">
        <v>109</v>
      </c>
      <c r="I87" s="45" t="s">
        <v>109</v>
      </c>
      <c r="J87" s="45" t="s">
        <v>106</v>
      </c>
      <c r="K87" s="45" t="s">
        <v>109</v>
      </c>
      <c r="L87" s="45" t="s">
        <v>109</v>
      </c>
      <c r="M87" s="45" t="s">
        <v>109</v>
      </c>
      <c r="N87" s="45" t="s">
        <v>109</v>
      </c>
      <c r="O87" s="45" t="s">
        <v>95</v>
      </c>
      <c r="P87" s="45" t="s">
        <v>95</v>
      </c>
      <c r="Q87" s="45" t="s">
        <v>95</v>
      </c>
      <c r="R87" s="45" t="s">
        <v>95</v>
      </c>
      <c r="S87" s="46" t="s">
        <v>95</v>
      </c>
      <c r="AJ87" s="3"/>
    </row>
    <row r="88" spans="1:36">
      <c r="A88" s="123"/>
      <c r="B88" s="45" t="s">
        <v>100</v>
      </c>
      <c r="C88" s="45" t="s">
        <v>100</v>
      </c>
      <c r="D88" s="45" t="s">
        <v>107</v>
      </c>
      <c r="E88" s="45" t="s">
        <v>110</v>
      </c>
      <c r="F88" s="45" t="s">
        <v>110</v>
      </c>
      <c r="G88" s="45" t="s">
        <v>107</v>
      </c>
      <c r="H88" s="45" t="s">
        <v>110</v>
      </c>
      <c r="I88" s="45" t="s">
        <v>110</v>
      </c>
      <c r="J88" s="45" t="s">
        <v>95</v>
      </c>
      <c r="K88" s="45" t="s">
        <v>110</v>
      </c>
      <c r="L88" s="45" t="s">
        <v>110</v>
      </c>
      <c r="M88" s="45" t="s">
        <v>110</v>
      </c>
      <c r="N88" s="45" t="s">
        <v>110</v>
      </c>
      <c r="O88" s="45" t="s">
        <v>107</v>
      </c>
      <c r="P88" s="45" t="s">
        <v>107</v>
      </c>
      <c r="Q88" s="45" t="s">
        <v>107</v>
      </c>
      <c r="R88" s="45" t="s">
        <v>107</v>
      </c>
      <c r="S88" s="46" t="s">
        <v>107</v>
      </c>
      <c r="AJ88" s="3"/>
    </row>
    <row r="89" spans="1:36">
      <c r="A89" s="123"/>
      <c r="B89" s="45" t="s">
        <v>101</v>
      </c>
      <c r="C89" s="45" t="s">
        <v>101</v>
      </c>
      <c r="D89" s="45" t="s">
        <v>96</v>
      </c>
      <c r="E89" s="45" t="s">
        <v>101</v>
      </c>
      <c r="F89" s="45" t="s">
        <v>101</v>
      </c>
      <c r="G89" s="45" t="s">
        <v>96</v>
      </c>
      <c r="H89" s="45" t="s">
        <v>101</v>
      </c>
      <c r="I89" s="45" t="s">
        <v>101</v>
      </c>
      <c r="J89" s="45" t="s">
        <v>107</v>
      </c>
      <c r="K89" s="45" t="s">
        <v>101</v>
      </c>
      <c r="L89" s="45" t="s">
        <v>101</v>
      </c>
      <c r="M89" s="45" t="s">
        <v>101</v>
      </c>
      <c r="N89" s="45" t="s">
        <v>101</v>
      </c>
      <c r="O89" s="45" t="s">
        <v>96</v>
      </c>
      <c r="P89" s="45" t="s">
        <v>96</v>
      </c>
      <c r="Q89" s="45" t="s">
        <v>96</v>
      </c>
      <c r="R89" s="45" t="s">
        <v>96</v>
      </c>
      <c r="S89" s="46" t="s">
        <v>96</v>
      </c>
      <c r="AJ89" s="3"/>
    </row>
    <row r="90" spans="1:36">
      <c r="A90" s="123"/>
      <c r="B90" s="45" t="s">
        <v>102</v>
      </c>
      <c r="C90" s="45" t="s">
        <v>102</v>
      </c>
      <c r="D90" s="45" t="s">
        <v>97</v>
      </c>
      <c r="E90" s="45" t="s">
        <v>111</v>
      </c>
      <c r="F90" s="45" t="s">
        <v>111</v>
      </c>
      <c r="G90" s="45" t="s">
        <v>97</v>
      </c>
      <c r="H90" s="45" t="s">
        <v>112</v>
      </c>
      <c r="I90" s="45" t="s">
        <v>112</v>
      </c>
      <c r="J90" s="45" t="s">
        <v>96</v>
      </c>
      <c r="K90" s="45" t="s">
        <v>111</v>
      </c>
      <c r="L90" s="45" t="s">
        <v>111</v>
      </c>
      <c r="M90" s="45" t="s">
        <v>111</v>
      </c>
      <c r="N90" s="45" t="s">
        <v>111</v>
      </c>
      <c r="O90" s="45" t="s">
        <v>97</v>
      </c>
      <c r="P90" s="45" t="s">
        <v>97</v>
      </c>
      <c r="Q90" s="45" t="s">
        <v>97</v>
      </c>
      <c r="R90" s="45" t="s">
        <v>97</v>
      </c>
      <c r="S90" s="46" t="s">
        <v>97</v>
      </c>
      <c r="AJ90" s="3"/>
    </row>
    <row r="91" spans="1:36">
      <c r="A91" s="123"/>
      <c r="B91" s="47"/>
      <c r="C91" s="47"/>
      <c r="D91" s="45" t="s">
        <v>108</v>
      </c>
      <c r="E91" s="47"/>
      <c r="F91" s="47"/>
      <c r="G91" s="45" t="s">
        <v>108</v>
      </c>
      <c r="H91" s="45" t="s">
        <v>111</v>
      </c>
      <c r="I91" s="45" t="s">
        <v>111</v>
      </c>
      <c r="J91" s="45" t="s">
        <v>97</v>
      </c>
      <c r="K91" s="47"/>
      <c r="L91" s="47"/>
      <c r="M91" s="47"/>
      <c r="N91" s="47"/>
      <c r="O91" s="45" t="s">
        <v>108</v>
      </c>
      <c r="P91" s="45" t="s">
        <v>108</v>
      </c>
      <c r="Q91" s="45" t="s">
        <v>108</v>
      </c>
      <c r="R91" s="45" t="s">
        <v>108</v>
      </c>
      <c r="S91" s="46" t="s">
        <v>108</v>
      </c>
      <c r="AJ91" s="3"/>
    </row>
    <row r="92" spans="1:36">
      <c r="A92" s="123"/>
      <c r="B92" s="47"/>
      <c r="C92" s="47"/>
      <c r="D92" s="45" t="s">
        <v>98</v>
      </c>
      <c r="E92" s="47"/>
      <c r="F92" s="47"/>
      <c r="G92" s="45" t="s">
        <v>98</v>
      </c>
      <c r="H92" s="47"/>
      <c r="I92" s="47"/>
      <c r="J92" s="45" t="s">
        <v>108</v>
      </c>
      <c r="K92" s="47"/>
      <c r="L92" s="47"/>
      <c r="M92" s="47"/>
      <c r="N92" s="47"/>
      <c r="O92" s="45" t="s">
        <v>98</v>
      </c>
      <c r="P92" s="45" t="s">
        <v>98</v>
      </c>
      <c r="Q92" s="45" t="s">
        <v>98</v>
      </c>
      <c r="R92" s="45" t="s">
        <v>98</v>
      </c>
      <c r="S92" s="46" t="s">
        <v>98</v>
      </c>
      <c r="AJ92" s="3"/>
    </row>
    <row r="93" spans="1:36">
      <c r="A93" s="123"/>
      <c r="B93" s="47"/>
      <c r="C93" s="47"/>
      <c r="D93" s="45" t="s">
        <v>99</v>
      </c>
      <c r="E93" s="47"/>
      <c r="F93" s="47"/>
      <c r="G93" s="45" t="s">
        <v>99</v>
      </c>
      <c r="H93" s="47"/>
      <c r="I93" s="47"/>
      <c r="J93" s="45" t="s">
        <v>98</v>
      </c>
      <c r="K93" s="47"/>
      <c r="L93" s="47"/>
      <c r="M93" s="47"/>
      <c r="N93" s="47"/>
      <c r="O93" s="45" t="s">
        <v>99</v>
      </c>
      <c r="P93" s="45" t="s">
        <v>99</v>
      </c>
      <c r="Q93" s="45" t="s">
        <v>99</v>
      </c>
      <c r="R93" s="45" t="s">
        <v>99</v>
      </c>
      <c r="S93" s="46" t="s">
        <v>99</v>
      </c>
      <c r="AJ93" s="3"/>
    </row>
    <row r="94" spans="1:36">
      <c r="A94" s="123"/>
      <c r="B94" s="47"/>
      <c r="C94" s="47"/>
      <c r="D94" s="45" t="s">
        <v>109</v>
      </c>
      <c r="E94" s="47"/>
      <c r="F94" s="47"/>
      <c r="G94" s="45" t="s">
        <v>109</v>
      </c>
      <c r="H94" s="47"/>
      <c r="I94" s="47"/>
      <c r="J94" s="45" t="s">
        <v>99</v>
      </c>
      <c r="K94" s="47"/>
      <c r="L94" s="47"/>
      <c r="M94" s="47"/>
      <c r="N94" s="47"/>
      <c r="O94" s="45" t="s">
        <v>109</v>
      </c>
      <c r="P94" s="45" t="s">
        <v>109</v>
      </c>
      <c r="Q94" s="45" t="s">
        <v>109</v>
      </c>
      <c r="R94" s="45" t="s">
        <v>109</v>
      </c>
      <c r="S94" s="46" t="s">
        <v>109</v>
      </c>
      <c r="AJ94" s="3"/>
    </row>
    <row r="95" spans="1:36">
      <c r="A95" s="123"/>
      <c r="B95" s="47"/>
      <c r="C95" s="47"/>
      <c r="D95" s="45" t="s">
        <v>100</v>
      </c>
      <c r="E95" s="47"/>
      <c r="F95" s="47"/>
      <c r="G95" s="45" t="s">
        <v>100</v>
      </c>
      <c r="H95" s="47"/>
      <c r="I95" s="47"/>
      <c r="J95" s="45" t="s">
        <v>109</v>
      </c>
      <c r="K95" s="47"/>
      <c r="L95" s="47"/>
      <c r="M95" s="47"/>
      <c r="N95" s="47"/>
      <c r="O95" s="45" t="s">
        <v>100</v>
      </c>
      <c r="P95" s="45" t="s">
        <v>100</v>
      </c>
      <c r="Q95" s="45" t="s">
        <v>100</v>
      </c>
      <c r="R95" s="45" t="s">
        <v>100</v>
      </c>
      <c r="S95" s="46" t="s">
        <v>100</v>
      </c>
      <c r="AJ95" s="3"/>
    </row>
    <row r="96" spans="1:36">
      <c r="A96" s="123"/>
      <c r="B96" s="47"/>
      <c r="C96" s="47"/>
      <c r="D96" s="45" t="s">
        <v>110</v>
      </c>
      <c r="E96" s="47"/>
      <c r="F96" s="47"/>
      <c r="G96" s="45" t="s">
        <v>110</v>
      </c>
      <c r="H96" s="47"/>
      <c r="I96" s="47"/>
      <c r="J96" s="45" t="s">
        <v>100</v>
      </c>
      <c r="K96" s="47"/>
      <c r="L96" s="47"/>
      <c r="M96" s="47"/>
      <c r="N96" s="47"/>
      <c r="O96" s="45" t="s">
        <v>110</v>
      </c>
      <c r="P96" s="45" t="s">
        <v>110</v>
      </c>
      <c r="Q96" s="45" t="s">
        <v>110</v>
      </c>
      <c r="R96" s="45" t="s">
        <v>110</v>
      </c>
      <c r="S96" s="46" t="s">
        <v>110</v>
      </c>
      <c r="AJ96" s="3"/>
    </row>
    <row r="97" spans="1:36">
      <c r="A97" s="123"/>
      <c r="B97" s="47"/>
      <c r="C97" s="47"/>
      <c r="D97" s="45" t="s">
        <v>101</v>
      </c>
      <c r="E97" s="47"/>
      <c r="F97" s="47"/>
      <c r="G97" s="45" t="s">
        <v>101</v>
      </c>
      <c r="H97" s="47"/>
      <c r="I97" s="47"/>
      <c r="J97" s="45" t="s">
        <v>110</v>
      </c>
      <c r="K97" s="47"/>
      <c r="L97" s="47"/>
      <c r="M97" s="47"/>
      <c r="N97" s="47"/>
      <c r="O97" s="45" t="s">
        <v>101</v>
      </c>
      <c r="P97" s="45" t="s">
        <v>101</v>
      </c>
      <c r="Q97" s="45" t="s">
        <v>101</v>
      </c>
      <c r="R97" s="45" t="s">
        <v>101</v>
      </c>
      <c r="S97" s="46" t="s">
        <v>101</v>
      </c>
      <c r="AJ97" s="3"/>
    </row>
    <row r="98" spans="1:36">
      <c r="A98" s="123"/>
      <c r="B98" s="47"/>
      <c r="C98" s="47"/>
      <c r="D98" s="45" t="s">
        <v>102</v>
      </c>
      <c r="E98" s="47"/>
      <c r="F98" s="47"/>
      <c r="G98" s="45" t="s">
        <v>112</v>
      </c>
      <c r="H98" s="47"/>
      <c r="I98" s="47"/>
      <c r="J98" s="45" t="s">
        <v>101</v>
      </c>
      <c r="K98" s="47"/>
      <c r="L98" s="47"/>
      <c r="M98" s="47"/>
      <c r="N98" s="47"/>
      <c r="O98" s="45" t="s">
        <v>112</v>
      </c>
      <c r="P98" s="45" t="s">
        <v>112</v>
      </c>
      <c r="Q98" s="45" t="s">
        <v>112</v>
      </c>
      <c r="R98" s="45" t="s">
        <v>112</v>
      </c>
      <c r="S98" s="46" t="s">
        <v>112</v>
      </c>
      <c r="AJ98" s="3"/>
    </row>
    <row r="99" spans="1:36">
      <c r="A99" s="123"/>
      <c r="B99" s="47"/>
      <c r="C99" s="47"/>
      <c r="D99" s="45" t="s">
        <v>111</v>
      </c>
      <c r="E99" s="47"/>
      <c r="F99" s="47"/>
      <c r="G99" s="45" t="s">
        <v>102</v>
      </c>
      <c r="H99" s="47"/>
      <c r="I99" s="47"/>
      <c r="J99" s="45" t="s">
        <v>112</v>
      </c>
      <c r="K99" s="47"/>
      <c r="L99" s="47"/>
      <c r="M99" s="47"/>
      <c r="N99" s="47"/>
      <c r="O99" s="45" t="s">
        <v>102</v>
      </c>
      <c r="P99" s="45" t="s">
        <v>102</v>
      </c>
      <c r="Q99" s="45" t="s">
        <v>102</v>
      </c>
      <c r="R99" s="45" t="s">
        <v>102</v>
      </c>
      <c r="S99" s="46" t="s">
        <v>102</v>
      </c>
      <c r="AJ99" s="3"/>
    </row>
    <row r="100" spans="1:36">
      <c r="A100" s="123"/>
      <c r="B100" s="47"/>
      <c r="C100" s="47"/>
      <c r="D100" s="47"/>
      <c r="E100" s="47"/>
      <c r="F100" s="47"/>
      <c r="G100" s="45" t="s">
        <v>111</v>
      </c>
      <c r="H100" s="47"/>
      <c r="I100" s="47"/>
      <c r="J100" s="45" t="s">
        <v>102</v>
      </c>
      <c r="K100" s="47"/>
      <c r="L100" s="47"/>
      <c r="M100" s="47"/>
      <c r="N100" s="47"/>
      <c r="O100" s="45" t="s">
        <v>111</v>
      </c>
      <c r="P100" s="45" t="s">
        <v>111</v>
      </c>
      <c r="Q100" s="45" t="s">
        <v>111</v>
      </c>
      <c r="R100" s="45" t="s">
        <v>111</v>
      </c>
      <c r="S100" s="46" t="s">
        <v>111</v>
      </c>
      <c r="AJ100" s="3"/>
    </row>
    <row r="101" spans="1:36" ht="15.75" thickBot="1">
      <c r="A101" s="106"/>
      <c r="B101" s="48"/>
      <c r="C101" s="48"/>
      <c r="D101" s="48"/>
      <c r="E101" s="48"/>
      <c r="F101" s="48"/>
      <c r="G101" s="48"/>
      <c r="H101" s="48"/>
      <c r="I101" s="48"/>
      <c r="J101" s="49" t="s">
        <v>111</v>
      </c>
      <c r="K101" s="48"/>
      <c r="L101" s="48"/>
      <c r="M101" s="48"/>
      <c r="N101" s="48"/>
      <c r="O101" s="48"/>
      <c r="P101" s="48"/>
      <c r="Q101" s="48"/>
      <c r="R101" s="48"/>
      <c r="S101" s="50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8"/>
    </row>
  </sheetData>
  <mergeCells count="290">
    <mergeCell ref="A74:A101"/>
    <mergeCell ref="H62:H63"/>
    <mergeCell ref="I62:I63"/>
    <mergeCell ref="J62:J63"/>
    <mergeCell ref="K62:K63"/>
    <mergeCell ref="L62:L63"/>
    <mergeCell ref="M62:M63"/>
    <mergeCell ref="M60:M61"/>
    <mergeCell ref="N60:N61"/>
    <mergeCell ref="O60:O61"/>
    <mergeCell ref="A62:A63"/>
    <mergeCell ref="B62:B63"/>
    <mergeCell ref="C62:C63"/>
    <mergeCell ref="D62:D63"/>
    <mergeCell ref="E62:E63"/>
    <mergeCell ref="F62:F63"/>
    <mergeCell ref="G62:G63"/>
    <mergeCell ref="G60:G61"/>
    <mergeCell ref="H60:H61"/>
    <mergeCell ref="I60:I61"/>
    <mergeCell ref="J60:J61"/>
    <mergeCell ref="K60:K61"/>
    <mergeCell ref="L60:L61"/>
    <mergeCell ref="N62:N63"/>
    <mergeCell ref="O62:O63"/>
    <mergeCell ref="A60:A61"/>
    <mergeCell ref="B60:B61"/>
    <mergeCell ref="C60:C61"/>
    <mergeCell ref="D60:D61"/>
    <mergeCell ref="E60:E61"/>
    <mergeCell ref="F60:F61"/>
    <mergeCell ref="G58:G59"/>
    <mergeCell ref="H58:H59"/>
    <mergeCell ref="I58:I59"/>
    <mergeCell ref="M56:M57"/>
    <mergeCell ref="N56:N57"/>
    <mergeCell ref="R56:R57"/>
    <mergeCell ref="S56:S57"/>
    <mergeCell ref="A58:A59"/>
    <mergeCell ref="B58:B59"/>
    <mergeCell ref="C58:C59"/>
    <mergeCell ref="D58:D59"/>
    <mergeCell ref="E58:E59"/>
    <mergeCell ref="F58:F59"/>
    <mergeCell ref="P58:P59"/>
    <mergeCell ref="Q58:Q59"/>
    <mergeCell ref="R58:R59"/>
    <mergeCell ref="S58:S59"/>
    <mergeCell ref="J58:J59"/>
    <mergeCell ref="K58:K59"/>
    <mergeCell ref="O58:O59"/>
    <mergeCell ref="A56:A57"/>
    <mergeCell ref="B56:B57"/>
    <mergeCell ref="C56:C57"/>
    <mergeCell ref="E56:E57"/>
    <mergeCell ref="F56:F57"/>
    <mergeCell ref="H56:H57"/>
    <mergeCell ref="I56:I57"/>
    <mergeCell ref="K56:K57"/>
    <mergeCell ref="L56:L57"/>
    <mergeCell ref="O52:O53"/>
    <mergeCell ref="P52:P53"/>
    <mergeCell ref="Q52:Q53"/>
    <mergeCell ref="R52:R53"/>
    <mergeCell ref="S52:S53"/>
    <mergeCell ref="A54:A55"/>
    <mergeCell ref="B54:B55"/>
    <mergeCell ref="C54:C55"/>
    <mergeCell ref="E54:E55"/>
    <mergeCell ref="F54:F55"/>
    <mergeCell ref="S54:S55"/>
    <mergeCell ref="H54:H55"/>
    <mergeCell ref="I54:I55"/>
    <mergeCell ref="K54:K55"/>
    <mergeCell ref="L54:L55"/>
    <mergeCell ref="M54:M55"/>
    <mergeCell ref="N54:N55"/>
    <mergeCell ref="A52:A53"/>
    <mergeCell ref="D52:D53"/>
    <mergeCell ref="G52:G53"/>
    <mergeCell ref="J52:J53"/>
    <mergeCell ref="N52:N53"/>
    <mergeCell ref="M49:M50"/>
    <mergeCell ref="N49:N50"/>
    <mergeCell ref="Q47:Q48"/>
    <mergeCell ref="R47:R48"/>
    <mergeCell ref="S47:S48"/>
    <mergeCell ref="M47:M48"/>
    <mergeCell ref="N47:N48"/>
    <mergeCell ref="O49:O50"/>
    <mergeCell ref="P49:P50"/>
    <mergeCell ref="Q49:Q50"/>
    <mergeCell ref="R49:R50"/>
    <mergeCell ref="S49:S50"/>
    <mergeCell ref="A49:A50"/>
    <mergeCell ref="B49:B50"/>
    <mergeCell ref="C49:C50"/>
    <mergeCell ref="D49:D50"/>
    <mergeCell ref="E49:E50"/>
    <mergeCell ref="F47:F48"/>
    <mergeCell ref="G47:G48"/>
    <mergeCell ref="K47:K48"/>
    <mergeCell ref="L47:L48"/>
    <mergeCell ref="F49:F50"/>
    <mergeCell ref="G49:G50"/>
    <mergeCell ref="K49:K50"/>
    <mergeCell ref="L49:L50"/>
    <mergeCell ref="O45:O46"/>
    <mergeCell ref="P45:P46"/>
    <mergeCell ref="Q45:Q46"/>
    <mergeCell ref="R45:R46"/>
    <mergeCell ref="S45:S46"/>
    <mergeCell ref="A47:A48"/>
    <mergeCell ref="B47:B48"/>
    <mergeCell ref="C47:C48"/>
    <mergeCell ref="D47:D48"/>
    <mergeCell ref="E47:E48"/>
    <mergeCell ref="G45:G46"/>
    <mergeCell ref="J45:J46"/>
    <mergeCell ref="K45:K46"/>
    <mergeCell ref="L45:L46"/>
    <mergeCell ref="M45:M46"/>
    <mergeCell ref="N45:N46"/>
    <mergeCell ref="A45:A46"/>
    <mergeCell ref="B45:B46"/>
    <mergeCell ref="C45:C46"/>
    <mergeCell ref="D45:D46"/>
    <mergeCell ref="E45:E46"/>
    <mergeCell ref="F45:F46"/>
    <mergeCell ref="O47:O48"/>
    <mergeCell ref="P47:P48"/>
    <mergeCell ref="A43:A44"/>
    <mergeCell ref="B43:B44"/>
    <mergeCell ref="C43:C44"/>
    <mergeCell ref="D43:D44"/>
    <mergeCell ref="I43:I44"/>
    <mergeCell ref="R43:R44"/>
    <mergeCell ref="I39:I40"/>
    <mergeCell ref="J39:J40"/>
    <mergeCell ref="Q39:Q40"/>
    <mergeCell ref="S39:S40"/>
    <mergeCell ref="A41:A42"/>
    <mergeCell ref="B41:B42"/>
    <mergeCell ref="C41:C42"/>
    <mergeCell ref="D41:D42"/>
    <mergeCell ref="I37:I38"/>
    <mergeCell ref="K37:K38"/>
    <mergeCell ref="L37:L38"/>
    <mergeCell ref="M37:M38"/>
    <mergeCell ref="N37:N38"/>
    <mergeCell ref="A39:A40"/>
    <mergeCell ref="B39:B40"/>
    <mergeCell ref="C39:C40"/>
    <mergeCell ref="D39:D40"/>
    <mergeCell ref="H39:H40"/>
    <mergeCell ref="R35:R36"/>
    <mergeCell ref="S35:S36"/>
    <mergeCell ref="A37:A38"/>
    <mergeCell ref="B37:B38"/>
    <mergeCell ref="C37:C38"/>
    <mergeCell ref="E37:E38"/>
    <mergeCell ref="F37:F38"/>
    <mergeCell ref="H37:H38"/>
    <mergeCell ref="J35:J36"/>
    <mergeCell ref="K35:K36"/>
    <mergeCell ref="L35:L36"/>
    <mergeCell ref="M35:M36"/>
    <mergeCell ref="N35:N36"/>
    <mergeCell ref="O35:O36"/>
    <mergeCell ref="A35:A36"/>
    <mergeCell ref="E35:E36"/>
    <mergeCell ref="F35:F36"/>
    <mergeCell ref="G35:G36"/>
    <mergeCell ref="H35:H36"/>
    <mergeCell ref="I35:I36"/>
    <mergeCell ref="A33:A34"/>
    <mergeCell ref="F30:F31"/>
    <mergeCell ref="G30:G31"/>
    <mergeCell ref="K30:K31"/>
    <mergeCell ref="L30:L31"/>
    <mergeCell ref="M30:M31"/>
    <mergeCell ref="N30:N31"/>
    <mergeCell ref="P35:P36"/>
    <mergeCell ref="Q35:Q36"/>
    <mergeCell ref="Q28:Q29"/>
    <mergeCell ref="R28:R29"/>
    <mergeCell ref="S28:S29"/>
    <mergeCell ref="A30:A31"/>
    <mergeCell ref="B30:B31"/>
    <mergeCell ref="C30:C31"/>
    <mergeCell ref="D30:D31"/>
    <mergeCell ref="E30:E31"/>
    <mergeCell ref="F28:F29"/>
    <mergeCell ref="G28:G29"/>
    <mergeCell ref="K28:K29"/>
    <mergeCell ref="L28:L29"/>
    <mergeCell ref="M28:M29"/>
    <mergeCell ref="N28:N29"/>
    <mergeCell ref="O30:O31"/>
    <mergeCell ref="P30:P31"/>
    <mergeCell ref="Q30:Q31"/>
    <mergeCell ref="R30:R31"/>
    <mergeCell ref="S30:S31"/>
    <mergeCell ref="O26:O27"/>
    <mergeCell ref="P26:P27"/>
    <mergeCell ref="Q26:Q27"/>
    <mergeCell ref="R26:R27"/>
    <mergeCell ref="S26:S27"/>
    <mergeCell ref="A28:A29"/>
    <mergeCell ref="B28:B29"/>
    <mergeCell ref="C28:C29"/>
    <mergeCell ref="D28:D29"/>
    <mergeCell ref="E28:E29"/>
    <mergeCell ref="G26:G27"/>
    <mergeCell ref="H26:H27"/>
    <mergeCell ref="K26:K27"/>
    <mergeCell ref="L26:L27"/>
    <mergeCell ref="M26:M27"/>
    <mergeCell ref="N26:N27"/>
    <mergeCell ref="A26:A27"/>
    <mergeCell ref="B26:B27"/>
    <mergeCell ref="C26:C27"/>
    <mergeCell ref="D26:D27"/>
    <mergeCell ref="E26:E27"/>
    <mergeCell ref="F26:F27"/>
    <mergeCell ref="O28:O29"/>
    <mergeCell ref="P28:P29"/>
    <mergeCell ref="J22:J23"/>
    <mergeCell ref="S22:S23"/>
    <mergeCell ref="A24:A25"/>
    <mergeCell ref="B24:B25"/>
    <mergeCell ref="C24:C25"/>
    <mergeCell ref="D24:D25"/>
    <mergeCell ref="Q24:Q25"/>
    <mergeCell ref="R24:R25"/>
    <mergeCell ref="A22:A23"/>
    <mergeCell ref="B22:B23"/>
    <mergeCell ref="C22:C23"/>
    <mergeCell ref="D22:D23"/>
    <mergeCell ref="H22:H23"/>
    <mergeCell ref="I22:I23"/>
    <mergeCell ref="I18:I19"/>
    <mergeCell ref="K18:K19"/>
    <mergeCell ref="L18:L19"/>
    <mergeCell ref="M18:M19"/>
    <mergeCell ref="N18:N19"/>
    <mergeCell ref="A20:A21"/>
    <mergeCell ref="B20:B21"/>
    <mergeCell ref="C20:C21"/>
    <mergeCell ref="D20:D21"/>
    <mergeCell ref="A18:A19"/>
    <mergeCell ref="B18:B19"/>
    <mergeCell ref="C18:C19"/>
    <mergeCell ref="E18:E19"/>
    <mergeCell ref="F18:F19"/>
    <mergeCell ref="H18:H19"/>
    <mergeCell ref="Q14:Q15"/>
    <mergeCell ref="R14:R15"/>
    <mergeCell ref="S14:S15"/>
    <mergeCell ref="A16:A17"/>
    <mergeCell ref="I14:I15"/>
    <mergeCell ref="J14:J15"/>
    <mergeCell ref="K14:K15"/>
    <mergeCell ref="L14:L15"/>
    <mergeCell ref="M14:M15"/>
    <mergeCell ref="N14:N15"/>
    <mergeCell ref="O6:O7"/>
    <mergeCell ref="P6:P7"/>
    <mergeCell ref="Q6:Q7"/>
    <mergeCell ref="R6:R7"/>
    <mergeCell ref="S6:S7"/>
    <mergeCell ref="A14:A15"/>
    <mergeCell ref="E14:E15"/>
    <mergeCell ref="F14:F15"/>
    <mergeCell ref="G14:G15"/>
    <mergeCell ref="H14:H15"/>
    <mergeCell ref="H6:H7"/>
    <mergeCell ref="I6:I7"/>
    <mergeCell ref="J6:J7"/>
    <mergeCell ref="K6:K7"/>
    <mergeCell ref="L6:L7"/>
    <mergeCell ref="M6:M7"/>
    <mergeCell ref="B6:B7"/>
    <mergeCell ref="C6:C7"/>
    <mergeCell ref="D6:D7"/>
    <mergeCell ref="E6:E7"/>
    <mergeCell ref="F6:F7"/>
    <mergeCell ref="G6:G7"/>
    <mergeCell ref="O14:O15"/>
    <mergeCell ref="P14:P15"/>
  </mergeCells>
  <pageMargins left="0.7" right="0.7" top="0.75" bottom="0.75" header="0.3" footer="0.3"/>
  <pageSetup paperSize="1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44"/>
  <sheetViews>
    <sheetView showGridLines="0" zoomScale="85" zoomScaleNormal="85" workbookViewId="0">
      <selection activeCell="B9" sqref="B9:E10"/>
    </sheetView>
  </sheetViews>
  <sheetFormatPr baseColWidth="10" defaultRowHeight="12"/>
  <cols>
    <col min="1" max="1" width="28.7109375" style="63" customWidth="1"/>
    <col min="2" max="5" width="30.7109375" style="75" bestFit="1" customWidth="1"/>
    <col min="6" max="16384" width="11.42578125" style="63"/>
  </cols>
  <sheetData>
    <row r="1" spans="1:10">
      <c r="A1" s="61" t="s">
        <v>0</v>
      </c>
      <c r="B1" s="61" t="s">
        <v>130</v>
      </c>
      <c r="C1" s="61" t="s">
        <v>131</v>
      </c>
      <c r="D1" s="61" t="s">
        <v>132</v>
      </c>
      <c r="E1" s="62" t="s">
        <v>133</v>
      </c>
    </row>
    <row r="2" spans="1:10">
      <c r="A2" s="74" t="s">
        <v>134</v>
      </c>
      <c r="B2" s="64"/>
      <c r="C2" s="64"/>
      <c r="D2" s="64"/>
      <c r="E2" s="65"/>
    </row>
    <row r="3" spans="1:10">
      <c r="A3" s="74" t="s">
        <v>19</v>
      </c>
      <c r="B3" s="66"/>
      <c r="C3" s="66"/>
      <c r="D3" s="66"/>
      <c r="E3" s="67"/>
    </row>
    <row r="4" spans="1:10" ht="48">
      <c r="A4" s="74" t="s">
        <v>20</v>
      </c>
      <c r="B4" s="68" t="s">
        <v>30</v>
      </c>
      <c r="C4" s="68" t="s">
        <v>31</v>
      </c>
      <c r="D4" s="68" t="s">
        <v>32</v>
      </c>
      <c r="E4" s="69" t="s">
        <v>33</v>
      </c>
    </row>
    <row r="5" spans="1:10">
      <c r="A5" s="74" t="s">
        <v>38</v>
      </c>
      <c r="B5" s="64"/>
      <c r="C5" s="64"/>
      <c r="D5" s="64"/>
      <c r="E5" s="65"/>
    </row>
    <row r="6" spans="1:10">
      <c r="A6" s="68" t="s">
        <v>39</v>
      </c>
      <c r="B6" s="68"/>
      <c r="C6" s="68"/>
      <c r="D6" s="68"/>
      <c r="E6" s="69"/>
    </row>
    <row r="7" spans="1:10">
      <c r="A7" s="74" t="s">
        <v>40</v>
      </c>
      <c r="B7" s="70"/>
      <c r="C7" s="70"/>
      <c r="D7" s="70"/>
      <c r="E7" s="71"/>
    </row>
    <row r="8" spans="1:10">
      <c r="A8" s="74" t="s">
        <v>41</v>
      </c>
      <c r="B8" s="70"/>
      <c r="C8" s="70"/>
      <c r="D8" s="70"/>
      <c r="E8" s="71"/>
    </row>
    <row r="9" spans="1:10">
      <c r="A9" s="74" t="s">
        <v>42</v>
      </c>
      <c r="B9" s="55">
        <v>399.22</v>
      </c>
      <c r="C9" s="55">
        <v>387.21</v>
      </c>
      <c r="D9" s="55">
        <v>387.29</v>
      </c>
      <c r="E9" s="56">
        <v>327.32</v>
      </c>
    </row>
    <row r="10" spans="1:10">
      <c r="A10" s="74" t="s">
        <v>43</v>
      </c>
      <c r="B10" s="55">
        <v>432.6</v>
      </c>
      <c r="C10" s="55">
        <v>425.16</v>
      </c>
      <c r="D10" s="55">
        <v>425.23</v>
      </c>
      <c r="E10" s="56">
        <v>360.69</v>
      </c>
    </row>
    <row r="11" spans="1:10">
      <c r="A11" s="68" t="s">
        <v>44</v>
      </c>
      <c r="B11" s="68"/>
      <c r="C11" s="68"/>
      <c r="D11" s="68"/>
      <c r="E11" s="69"/>
    </row>
    <row r="12" spans="1:10">
      <c r="A12" s="74" t="s">
        <v>45</v>
      </c>
      <c r="B12" s="72"/>
      <c r="C12" s="72"/>
      <c r="D12" s="72"/>
      <c r="E12" s="73"/>
    </row>
    <row r="13" spans="1:10">
      <c r="A13" s="74" t="s">
        <v>46</v>
      </c>
      <c r="B13" s="64"/>
      <c r="C13" s="64"/>
      <c r="D13" s="64"/>
      <c r="E13" s="65"/>
    </row>
    <row r="14" spans="1:10">
      <c r="A14" s="68" t="s">
        <v>47</v>
      </c>
      <c r="B14" s="64" t="s">
        <v>48</v>
      </c>
      <c r="C14" s="64" t="s">
        <v>48</v>
      </c>
      <c r="D14" s="64" t="s">
        <v>48</v>
      </c>
      <c r="E14" s="65" t="s">
        <v>48</v>
      </c>
    </row>
    <row r="15" spans="1:10" ht="15" customHeight="1">
      <c r="A15" s="74" t="s">
        <v>50</v>
      </c>
      <c r="B15" s="55">
        <v>4.55</v>
      </c>
      <c r="C15" s="55">
        <v>5.14</v>
      </c>
      <c r="D15" s="55">
        <v>5.14</v>
      </c>
      <c r="E15" s="56">
        <v>5.1100000000000003</v>
      </c>
      <c r="G15" s="63" t="str">
        <f>B15&amp;" ("&amp;ROUND(B16*100,1)&amp;"/%)"</f>
        <v>4.55 (11.4/%)</v>
      </c>
      <c r="H15" s="63" t="str">
        <f t="shared" ref="H15:J15" si="0">C15&amp;" ("&amp;ROUND(C16*100,1)&amp;"/%)"</f>
        <v>5.14 (7.1/%)</v>
      </c>
      <c r="I15" s="63" t="str">
        <f t="shared" si="0"/>
        <v>5.14 (7.1/%)</v>
      </c>
      <c r="J15" s="63" t="str">
        <f t="shared" si="0"/>
        <v>5.11 (7.1/%)</v>
      </c>
    </row>
    <row r="16" spans="1:10" ht="15" customHeight="1">
      <c r="A16" s="74"/>
      <c r="B16" s="58">
        <v>0.1135</v>
      </c>
      <c r="C16" s="58">
        <v>7.0999999999999994E-2</v>
      </c>
      <c r="D16" s="58">
        <v>7.1300000000000002E-2</v>
      </c>
      <c r="E16" s="57">
        <v>7.0800000000000002E-2</v>
      </c>
    </row>
    <row r="17" spans="1:10" ht="15" customHeight="1">
      <c r="A17" s="74" t="s">
        <v>52</v>
      </c>
      <c r="B17" s="55">
        <v>22.61</v>
      </c>
      <c r="C17" s="55">
        <v>19.88</v>
      </c>
      <c r="D17" s="55">
        <v>20.079999999999998</v>
      </c>
      <c r="E17" s="56">
        <v>21.58</v>
      </c>
      <c r="G17" s="63" t="str">
        <f>B17&amp;" ("&amp;ROUND(B18*100,1)&amp;"/%)"</f>
        <v>22.61 (8/%)</v>
      </c>
      <c r="H17" s="63" t="str">
        <f t="shared" ref="H17" si="1">C17&amp;" ("&amp;ROUND(C18*100,1)&amp;"/%)"</f>
        <v>19.88 (9.5/%)</v>
      </c>
      <c r="I17" s="63" t="str">
        <f t="shared" ref="I17" si="2">D17&amp;" ("&amp;ROUND(D18*100,1)&amp;"/%)"</f>
        <v>20.08 (13.4/%)</v>
      </c>
      <c r="J17" s="63" t="str">
        <f t="shared" ref="J17" si="3">E17&amp;" ("&amp;ROUND(E18*100,1)&amp;"/%)"</f>
        <v>21.58 (7.4/%)</v>
      </c>
    </row>
    <row r="18" spans="1:10" ht="15" customHeight="1">
      <c r="A18" s="74"/>
      <c r="B18" s="58">
        <v>8.0100000000000005E-2</v>
      </c>
      <c r="C18" s="58">
        <v>9.5100000000000004E-2</v>
      </c>
      <c r="D18" s="58">
        <v>0.1341</v>
      </c>
      <c r="E18" s="57">
        <v>7.3700000000000002E-2</v>
      </c>
    </row>
    <row r="19" spans="1:10" ht="15" customHeight="1">
      <c r="A19" s="74" t="s">
        <v>53</v>
      </c>
      <c r="B19" s="59">
        <v>4.8499999999999996</v>
      </c>
      <c r="C19" s="55">
        <v>6.36</v>
      </c>
      <c r="D19" s="59">
        <v>6.16</v>
      </c>
      <c r="E19" s="56">
        <v>4.8</v>
      </c>
      <c r="G19" s="63" t="str">
        <f>B19&amp;" ("&amp;ROUND(B20*100,1)&amp;"/%)"</f>
        <v>4.85 (15.3/%)</v>
      </c>
      <c r="H19" s="63" t="str">
        <f t="shared" ref="H19" si="4">C19&amp;" ("&amp;ROUND(C20*100,1)&amp;"/%)"</f>
        <v>6.36 (26.6/%)</v>
      </c>
      <c r="I19" s="63" t="str">
        <f t="shared" ref="I19" si="5">D19&amp;" ("&amp;ROUND(D20*100,1)&amp;"/%)"</f>
        <v>6.16 (41.2/%)</v>
      </c>
      <c r="J19" s="63" t="str">
        <f t="shared" ref="J19" si="6">E19&amp;" ("&amp;ROUND(E20*100,1)&amp;"/%)"</f>
        <v>4.8 (20.5/%)</v>
      </c>
    </row>
    <row r="20" spans="1:10" ht="15" customHeight="1">
      <c r="A20" s="74"/>
      <c r="B20" s="96">
        <v>0.1525</v>
      </c>
      <c r="C20" s="58">
        <v>0.2656</v>
      </c>
      <c r="D20" s="96">
        <v>0.41170000000000001</v>
      </c>
      <c r="E20" s="57">
        <v>0.20480000000000001</v>
      </c>
    </row>
    <row r="21" spans="1:10" ht="15" customHeight="1">
      <c r="A21" s="74" t="s">
        <v>54</v>
      </c>
      <c r="B21" s="55">
        <v>66.38</v>
      </c>
      <c r="C21" s="55">
        <v>24.59</v>
      </c>
      <c r="D21" s="55">
        <v>24.48</v>
      </c>
      <c r="E21" s="56">
        <v>27.81</v>
      </c>
      <c r="G21" s="63" t="str">
        <f>B21&amp;" ("&amp;ROUND(B22*100,1)&amp;"/%)"</f>
        <v>66.38 (70.9/%)</v>
      </c>
      <c r="H21" s="63" t="str">
        <f t="shared" ref="H21" si="7">C21&amp;" ("&amp;ROUND(C22*100,1)&amp;"/%)"</f>
        <v>24.59 (14.1/%)</v>
      </c>
      <c r="I21" s="63" t="str">
        <f t="shared" ref="I21" si="8">D21&amp;" ("&amp;ROUND(D22*100,1)&amp;"/%)"</f>
        <v>24.48 (17.2/%)</v>
      </c>
      <c r="J21" s="63" t="str">
        <f t="shared" ref="J21" si="9">E21&amp;" ("&amp;ROUND(E22*100,1)&amp;"/%)"</f>
        <v>27.81 (0/%)</v>
      </c>
    </row>
    <row r="22" spans="1:10" ht="15" customHeight="1">
      <c r="A22" s="74"/>
      <c r="B22" s="58">
        <v>0.70940000000000003</v>
      </c>
      <c r="C22" s="58">
        <v>0.1411</v>
      </c>
      <c r="D22" s="58">
        <v>0.1716</v>
      </c>
      <c r="E22" s="57">
        <v>8.0000000000000002E-8</v>
      </c>
    </row>
    <row r="23" spans="1:10">
      <c r="A23" s="68" t="s">
        <v>58</v>
      </c>
      <c r="B23" s="64" t="s">
        <v>48</v>
      </c>
      <c r="C23" s="64" t="s">
        <v>48</v>
      </c>
      <c r="D23" s="64" t="s">
        <v>48</v>
      </c>
      <c r="E23" s="65" t="s">
        <v>48</v>
      </c>
    </row>
    <row r="24" spans="1:10" ht="15" customHeight="1">
      <c r="A24" s="74" t="s">
        <v>59</v>
      </c>
      <c r="B24" s="55">
        <v>0.28999999999999998</v>
      </c>
      <c r="C24" s="55">
        <v>0.26</v>
      </c>
      <c r="D24" s="55">
        <v>0.26</v>
      </c>
      <c r="E24" s="56">
        <v>0.26</v>
      </c>
      <c r="G24" s="63" t="str">
        <f>B24&amp;" ("&amp;ROUND(B25*100,1)&amp;"/%)"</f>
        <v>0.29 (23.5/%)</v>
      </c>
      <c r="H24" s="63" t="str">
        <f t="shared" ref="H24" si="10">C24&amp;" ("&amp;ROUND(C25*100,1)&amp;"/%)"</f>
        <v>0.26 (19.3/%)</v>
      </c>
      <c r="I24" s="63" t="str">
        <f t="shared" ref="I24" si="11">D24&amp;" ("&amp;ROUND(D25*100,1)&amp;"/%)"</f>
        <v>0.26 (19.4/%)</v>
      </c>
      <c r="J24" s="63" t="str">
        <f t="shared" ref="J24" si="12">E24&amp;" ("&amp;ROUND(E25*100,1)&amp;"/%)"</f>
        <v>0.26 (19.5/%)</v>
      </c>
    </row>
    <row r="25" spans="1:10" ht="15" customHeight="1">
      <c r="A25" s="74"/>
      <c r="B25" s="58">
        <v>0.2346</v>
      </c>
      <c r="C25" s="58">
        <v>0.19309999999999999</v>
      </c>
      <c r="D25" s="58">
        <v>0.19359999999999999</v>
      </c>
      <c r="E25" s="57">
        <v>0.19539999999999999</v>
      </c>
    </row>
    <row r="26" spans="1:10" ht="15" customHeight="1">
      <c r="A26" s="74" t="s">
        <v>63</v>
      </c>
      <c r="B26" s="55">
        <v>0.26</v>
      </c>
      <c r="C26" s="55">
        <v>0.27</v>
      </c>
      <c r="D26" s="55">
        <v>0.26</v>
      </c>
      <c r="E26" s="56">
        <v>0.23</v>
      </c>
      <c r="G26" s="63" t="str">
        <f>B26&amp;" ("&amp;ROUND(B27*100,1)&amp;"/%)"</f>
        <v>0.26 (20.9/%)</v>
      </c>
      <c r="H26" s="63" t="str">
        <f t="shared" ref="H26" si="13">C26&amp;" ("&amp;ROUND(C27*100,1)&amp;"/%)"</f>
        <v>0.27 (28.6/%)</v>
      </c>
      <c r="I26" s="63" t="str">
        <f t="shared" ref="I26" si="14">D26&amp;" ("&amp;ROUND(D27*100,1)&amp;"/%)"</f>
        <v>0.26 (38.8/%)</v>
      </c>
      <c r="J26" s="63" t="str">
        <f t="shared" ref="J26" si="15">E26&amp;" ("&amp;ROUND(E27*100,1)&amp;"/%)"</f>
        <v>0.23 (25.1/%)</v>
      </c>
    </row>
    <row r="27" spans="1:10" ht="15" customHeight="1">
      <c r="A27" s="74"/>
      <c r="B27" s="58">
        <v>0.2092</v>
      </c>
      <c r="C27" s="58">
        <v>0.28589999999999999</v>
      </c>
      <c r="D27" s="58">
        <v>0.38779999999999998</v>
      </c>
      <c r="E27" s="57">
        <v>0.25069999999999998</v>
      </c>
    </row>
    <row r="28" spans="1:10" ht="15" customHeight="1">
      <c r="A28" s="74" t="s">
        <v>62</v>
      </c>
      <c r="B28" s="55">
        <v>0.42</v>
      </c>
      <c r="C28" s="55">
        <v>0.74</v>
      </c>
      <c r="D28" s="55">
        <v>0.73</v>
      </c>
      <c r="E28" s="56">
        <v>0.65</v>
      </c>
      <c r="G28" s="63" t="str">
        <f>B28&amp;" ("&amp;ROUND(B29*100,1)&amp;"/%)"</f>
        <v>0.42 (28.8/%)</v>
      </c>
      <c r="H28" s="63" t="str">
        <f t="shared" ref="H28" si="16">C28&amp;" ("&amp;ROUND(C29*100,1)&amp;"/%)"</f>
        <v>0.74 (27.8/%)</v>
      </c>
      <c r="I28" s="63" t="str">
        <f t="shared" ref="I28" si="17">D28&amp;" ("&amp;ROUND(D29*100,1)&amp;"/%)"</f>
        <v>0.73 (24.5/%)</v>
      </c>
      <c r="J28" s="63" t="str">
        <f t="shared" ref="J28" si="18">E28&amp;" ("&amp;ROUND(E29*100,1)&amp;"/%)"</f>
        <v>0.65 (25.5/%)</v>
      </c>
    </row>
    <row r="29" spans="1:10" ht="15" customHeight="1">
      <c r="A29" s="74"/>
      <c r="B29" s="58">
        <v>0.28770000000000001</v>
      </c>
      <c r="C29" s="58">
        <v>0.27779999999999999</v>
      </c>
      <c r="D29" s="58">
        <v>0.24529999999999999</v>
      </c>
      <c r="E29" s="57">
        <v>0.25459999999999999</v>
      </c>
    </row>
    <row r="30" spans="1:10" ht="15" customHeight="1">
      <c r="A30" s="74" t="s">
        <v>64</v>
      </c>
      <c r="B30" s="93">
        <v>0.92</v>
      </c>
      <c r="C30" s="55">
        <v>0.31</v>
      </c>
      <c r="D30" s="93">
        <v>0.24</v>
      </c>
      <c r="E30" s="94">
        <v>3.2999999999999998E-8</v>
      </c>
      <c r="G30" s="63" t="str">
        <f>B30&amp;" ("&amp;ROUND(B31*100,1)&amp;"/%)"</f>
        <v>0.92 (43.8/%)</v>
      </c>
      <c r="H30" s="63" t="str">
        <f t="shared" ref="H30" si="19">C30&amp;" ("&amp;ROUND(C31*100,1)&amp;"/%)"</f>
        <v>0.31 (74.3/%)</v>
      </c>
      <c r="I30" s="63" t="str">
        <f t="shared" ref="I30" si="20">D30&amp;" ("&amp;ROUND(D31*100,1)&amp;"/%)"</f>
        <v>0.24 (175.5/%)</v>
      </c>
      <c r="J30" s="63" t="str">
        <f t="shared" ref="J30" si="21">E30&amp;" ("&amp;ROUND(E31*100,1)&amp;"/%)"</f>
        <v>0.000000033 (117.2/%)</v>
      </c>
    </row>
    <row r="31" spans="1:10" ht="15" customHeight="1">
      <c r="A31" s="74"/>
      <c r="B31" s="58">
        <v>0.43819999999999998</v>
      </c>
      <c r="C31" s="58">
        <v>0.74250000000000005</v>
      </c>
      <c r="D31" s="58">
        <v>1.7548999999999999</v>
      </c>
      <c r="E31" s="57">
        <v>1.1717</v>
      </c>
    </row>
    <row r="32" spans="1:10">
      <c r="A32" s="68" t="s">
        <v>68</v>
      </c>
      <c r="B32" s="64" t="s">
        <v>48</v>
      </c>
      <c r="C32" s="64" t="s">
        <v>48</v>
      </c>
      <c r="D32" s="64" t="s">
        <v>48</v>
      </c>
      <c r="E32" s="65" t="s">
        <v>48</v>
      </c>
    </row>
    <row r="33" spans="1:10" ht="15" customHeight="1">
      <c r="A33" s="74" t="s">
        <v>69</v>
      </c>
      <c r="B33" s="55">
        <v>6.6000000000000003E-2</v>
      </c>
      <c r="C33" s="55">
        <v>5.3999999999999999E-2</v>
      </c>
      <c r="D33" s="55">
        <v>5.7000000000000002E-2</v>
      </c>
      <c r="E33" s="60"/>
      <c r="G33" s="63" t="str">
        <f>B33&amp;" ("&amp;ROUND(B34*100,1)&amp;"/%)"</f>
        <v>0.066 (12.6/%)</v>
      </c>
      <c r="H33" s="63" t="str">
        <f t="shared" ref="H33" si="22">C33&amp;" ("&amp;ROUND(C34*100,1)&amp;"/%)"</f>
        <v>0.054 (47.6/%)</v>
      </c>
      <c r="I33" s="63" t="str">
        <f t="shared" ref="I33" si="23">D33&amp;" ("&amp;ROUND(D34*100,1)&amp;"/%)"</f>
        <v>0.057 (19/%)</v>
      </c>
      <c r="J33" s="63" t="str">
        <f t="shared" ref="J33" si="24">E33&amp;" ("&amp;ROUND(E34*100,1)&amp;"/%)"</f>
        <v xml:space="preserve"> (0/%)</v>
      </c>
    </row>
    <row r="34" spans="1:10" ht="15" customHeight="1">
      <c r="A34" s="74"/>
      <c r="B34" s="58">
        <v>0.1255</v>
      </c>
      <c r="C34" s="58">
        <v>0.47560000000000002</v>
      </c>
      <c r="D34" s="58">
        <v>0.18970000000000001</v>
      </c>
      <c r="E34" s="60"/>
    </row>
    <row r="35" spans="1:10" ht="15" customHeight="1">
      <c r="A35" s="74" t="s">
        <v>72</v>
      </c>
      <c r="B35" s="59"/>
      <c r="C35" s="55">
        <v>1.2999999999999999E-3</v>
      </c>
      <c r="D35" s="55">
        <v>4.1000000000000003E-3</v>
      </c>
      <c r="E35" s="56">
        <v>2.5000000000000001E-2</v>
      </c>
      <c r="G35" s="63" t="str">
        <f>B35&amp;" ("&amp;ROUND(B36*100,1)&amp;"/%)"</f>
        <v xml:space="preserve"> (0/%)</v>
      </c>
      <c r="H35" s="63" t="str">
        <f t="shared" ref="H35" si="25">C35&amp;" ("&amp;ROUND(C36*100,1)&amp;"/%)"</f>
        <v>0.0013 (741.8/%)</v>
      </c>
      <c r="I35" s="63" t="str">
        <f t="shared" ref="I35" si="26">D35&amp;" ("&amp;ROUND(D36*100,1)&amp;"/%)"</f>
        <v>0.0041 (0/%)</v>
      </c>
      <c r="J35" s="63" t="str">
        <f t="shared" ref="J35" si="27">E35&amp;" ("&amp;ROUND(E36*100,1)&amp;"/%)"</f>
        <v>0.025 (9.4/%)</v>
      </c>
    </row>
    <row r="36" spans="1:10" ht="15" customHeight="1">
      <c r="A36" s="74"/>
      <c r="B36" s="59"/>
      <c r="C36" s="58">
        <v>7.4177999999999997</v>
      </c>
      <c r="D36" s="58"/>
      <c r="E36" s="57">
        <v>9.3600000000000003E-2</v>
      </c>
    </row>
    <row r="37" spans="1:10">
      <c r="A37" s="68" t="s">
        <v>75</v>
      </c>
      <c r="B37" s="68"/>
      <c r="C37" s="68"/>
      <c r="D37" s="68"/>
      <c r="E37" s="69"/>
    </row>
    <row r="38" spans="1:10">
      <c r="A38" s="74" t="s">
        <v>135</v>
      </c>
      <c r="B38" s="55"/>
      <c r="C38" s="68"/>
      <c r="D38" s="55">
        <v>5000</v>
      </c>
      <c r="E38" s="56">
        <v>1000</v>
      </c>
    </row>
    <row r="39" spans="1:10">
      <c r="A39" s="74" t="s">
        <v>79</v>
      </c>
      <c r="B39" s="55"/>
      <c r="C39" s="68"/>
      <c r="D39" s="55">
        <v>5000</v>
      </c>
      <c r="E39" s="56">
        <v>150</v>
      </c>
    </row>
    <row r="40" spans="1:10" ht="24">
      <c r="A40" s="74" t="s">
        <v>76</v>
      </c>
      <c r="B40" s="55"/>
      <c r="C40" s="68"/>
      <c r="D40" s="55"/>
      <c r="E40" s="56">
        <v>500</v>
      </c>
    </row>
    <row r="41" spans="1:10">
      <c r="A41" s="74" t="s">
        <v>136</v>
      </c>
      <c r="B41" s="55"/>
      <c r="C41" s="68"/>
      <c r="D41" s="55"/>
      <c r="E41" s="56">
        <v>1000</v>
      </c>
    </row>
    <row r="42" spans="1:10" ht="24">
      <c r="A42" s="74" t="s">
        <v>80</v>
      </c>
      <c r="B42" s="55"/>
      <c r="C42" s="68"/>
      <c r="D42" s="55"/>
      <c r="E42" s="56">
        <v>500</v>
      </c>
    </row>
    <row r="43" spans="1:10" ht="24">
      <c r="A43" s="74" t="s">
        <v>81</v>
      </c>
      <c r="B43" s="55"/>
      <c r="C43" s="68"/>
      <c r="D43" s="55"/>
      <c r="E43" s="56">
        <v>0.8</v>
      </c>
    </row>
    <row r="44" spans="1:10" ht="24">
      <c r="A44" s="74" t="s">
        <v>82</v>
      </c>
      <c r="B44" s="55"/>
      <c r="C44" s="68"/>
      <c r="D44" s="55"/>
      <c r="E44" s="56">
        <v>0.8</v>
      </c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8"/>
  <sheetViews>
    <sheetView workbookViewId="0">
      <selection activeCell="A8" sqref="A8:E8"/>
    </sheetView>
  </sheetViews>
  <sheetFormatPr baseColWidth="10" defaultRowHeight="15"/>
  <cols>
    <col min="1" max="1" width="30.42578125" bestFit="1" customWidth="1"/>
    <col min="2" max="2" width="20" style="51" bestFit="1" customWidth="1"/>
    <col min="3" max="3" width="20" style="51" customWidth="1"/>
    <col min="4" max="4" width="19.7109375" style="51" bestFit="1" customWidth="1"/>
    <col min="5" max="5" width="21.5703125" style="51" bestFit="1" customWidth="1"/>
    <col min="6" max="6" width="21.5703125" style="51" customWidth="1"/>
  </cols>
  <sheetData>
    <row r="1" spans="1:11">
      <c r="A1" s="126" t="s">
        <v>123</v>
      </c>
      <c r="B1" s="125" t="s">
        <v>122</v>
      </c>
      <c r="C1" s="125"/>
      <c r="D1" s="125"/>
      <c r="E1" s="125"/>
      <c r="F1" s="95"/>
    </row>
    <row r="2" spans="1:11">
      <c r="A2" s="126"/>
      <c r="B2" s="53" t="s">
        <v>118</v>
      </c>
      <c r="C2" s="53" t="s">
        <v>119</v>
      </c>
      <c r="D2" s="53" t="s">
        <v>120</v>
      </c>
      <c r="E2" s="53" t="s">
        <v>121</v>
      </c>
      <c r="F2" s="95"/>
    </row>
    <row r="3" spans="1:11">
      <c r="A3" s="124" t="s">
        <v>114</v>
      </c>
      <c r="B3" s="124"/>
      <c r="C3" s="124"/>
      <c r="D3" s="124"/>
      <c r="E3" s="124"/>
      <c r="F3" s="127"/>
    </row>
    <row r="4" spans="1:11">
      <c r="A4" t="s">
        <v>154</v>
      </c>
      <c r="B4" s="52" t="s">
        <v>214</v>
      </c>
      <c r="C4" s="52" t="s">
        <v>216</v>
      </c>
      <c r="D4" s="52" t="s">
        <v>215</v>
      </c>
      <c r="E4" s="52" t="s">
        <v>215</v>
      </c>
      <c r="F4" s="52"/>
      <c r="G4" t="s">
        <v>163</v>
      </c>
      <c r="H4" t="s">
        <v>164</v>
      </c>
      <c r="I4" t="s">
        <v>165</v>
      </c>
      <c r="J4" t="s">
        <v>166</v>
      </c>
    </row>
    <row r="5" spans="1:11">
      <c r="A5" t="s">
        <v>155</v>
      </c>
      <c r="B5" s="52" t="s">
        <v>217</v>
      </c>
      <c r="C5" s="52" t="s">
        <v>220</v>
      </c>
      <c r="D5" s="52" t="s">
        <v>218</v>
      </c>
      <c r="E5" s="52" t="s">
        <v>219</v>
      </c>
      <c r="F5" s="52"/>
      <c r="G5" t="s">
        <v>167</v>
      </c>
      <c r="H5" t="s">
        <v>168</v>
      </c>
      <c r="I5" t="s">
        <v>169</v>
      </c>
      <c r="J5" t="s">
        <v>170</v>
      </c>
    </row>
    <row r="6" spans="1:11">
      <c r="A6" t="s">
        <v>156</v>
      </c>
      <c r="B6" s="52" t="s">
        <v>221</v>
      </c>
      <c r="C6" s="52" t="s">
        <v>224</v>
      </c>
      <c r="D6" s="52" t="s">
        <v>222</v>
      </c>
      <c r="E6" s="52" t="s">
        <v>223</v>
      </c>
      <c r="F6" s="52"/>
      <c r="G6" t="s">
        <v>171</v>
      </c>
      <c r="H6" t="s">
        <v>172</v>
      </c>
      <c r="I6" t="s">
        <v>173</v>
      </c>
      <c r="J6" t="s">
        <v>174</v>
      </c>
    </row>
    <row r="7" spans="1:11">
      <c r="A7" t="s">
        <v>157</v>
      </c>
      <c r="B7" s="52" t="s">
        <v>225</v>
      </c>
      <c r="C7" s="52" t="s">
        <v>228</v>
      </c>
      <c r="D7" s="52" t="s">
        <v>226</v>
      </c>
      <c r="E7" s="52" t="s">
        <v>227</v>
      </c>
      <c r="F7" s="52"/>
      <c r="G7" t="s">
        <v>175</v>
      </c>
      <c r="H7" t="s">
        <v>176</v>
      </c>
      <c r="I7" t="s">
        <v>177</v>
      </c>
      <c r="J7" t="s">
        <v>178</v>
      </c>
    </row>
    <row r="8" spans="1:11">
      <c r="A8" s="124" t="s">
        <v>115</v>
      </c>
      <c r="B8" s="124"/>
      <c r="C8" s="124"/>
      <c r="D8" s="124"/>
      <c r="E8" s="124"/>
      <c r="F8" s="127"/>
      <c r="K8" s="92"/>
    </row>
    <row r="9" spans="1:11">
      <c r="A9" t="s">
        <v>158</v>
      </c>
      <c r="B9" s="51" t="s">
        <v>229</v>
      </c>
      <c r="C9" s="51" t="s">
        <v>181</v>
      </c>
      <c r="D9" s="51" t="s">
        <v>230</v>
      </c>
      <c r="E9" s="51" t="s">
        <v>231</v>
      </c>
      <c r="G9" t="s">
        <v>179</v>
      </c>
      <c r="H9" t="s">
        <v>180</v>
      </c>
      <c r="I9" t="s">
        <v>181</v>
      </c>
      <c r="J9" t="s">
        <v>182</v>
      </c>
    </row>
    <row r="10" spans="1:11">
      <c r="A10" t="s">
        <v>159</v>
      </c>
      <c r="B10" s="51" t="s">
        <v>236</v>
      </c>
      <c r="C10" s="51" t="s">
        <v>239</v>
      </c>
      <c r="D10" s="51" t="s">
        <v>237</v>
      </c>
      <c r="E10" s="51" t="s">
        <v>238</v>
      </c>
      <c r="G10" t="s">
        <v>183</v>
      </c>
      <c r="H10" t="s">
        <v>184</v>
      </c>
      <c r="I10" t="s">
        <v>185</v>
      </c>
      <c r="J10" t="s">
        <v>186</v>
      </c>
    </row>
    <row r="11" spans="1:11">
      <c r="A11" t="s">
        <v>160</v>
      </c>
      <c r="B11" s="51" t="s">
        <v>232</v>
      </c>
      <c r="C11" s="51" t="s">
        <v>235</v>
      </c>
      <c r="D11" s="51" t="s">
        <v>233</v>
      </c>
      <c r="E11" s="51" t="s">
        <v>234</v>
      </c>
      <c r="G11" t="s">
        <v>187</v>
      </c>
      <c r="H11" t="s">
        <v>188</v>
      </c>
      <c r="I11" t="s">
        <v>189</v>
      </c>
      <c r="J11" t="s">
        <v>190</v>
      </c>
    </row>
    <row r="12" spans="1:11">
      <c r="A12" t="s">
        <v>161</v>
      </c>
      <c r="B12" s="51" t="s">
        <v>240</v>
      </c>
      <c r="C12" s="51" t="s">
        <v>243</v>
      </c>
      <c r="D12" s="51" t="s">
        <v>241</v>
      </c>
      <c r="E12" s="51" t="s">
        <v>242</v>
      </c>
      <c r="G12" t="s">
        <v>191</v>
      </c>
      <c r="H12" t="s">
        <v>192</v>
      </c>
      <c r="I12" t="s">
        <v>193</v>
      </c>
      <c r="J12" t="s">
        <v>194</v>
      </c>
    </row>
    <row r="13" spans="1:11">
      <c r="A13" s="124" t="s">
        <v>116</v>
      </c>
      <c r="B13" s="124"/>
      <c r="C13" s="124"/>
      <c r="D13" s="124"/>
      <c r="E13" s="124"/>
      <c r="F13" s="127"/>
    </row>
    <row r="14" spans="1:11">
      <c r="A14" t="s">
        <v>203</v>
      </c>
      <c r="B14" s="51" t="s">
        <v>244</v>
      </c>
      <c r="C14" s="51" t="s">
        <v>117</v>
      </c>
      <c r="D14" s="51" t="s">
        <v>245</v>
      </c>
      <c r="E14" s="51" t="s">
        <v>246</v>
      </c>
      <c r="G14" t="s">
        <v>195</v>
      </c>
      <c r="H14" t="s">
        <v>196</v>
      </c>
      <c r="I14" t="s">
        <v>197</v>
      </c>
      <c r="J14" t="s">
        <v>198</v>
      </c>
    </row>
    <row r="15" spans="1:11">
      <c r="A15" t="s">
        <v>204</v>
      </c>
      <c r="B15" s="51" t="s">
        <v>117</v>
      </c>
      <c r="C15" s="51" t="s">
        <v>249</v>
      </c>
      <c r="D15" s="51" t="s">
        <v>247</v>
      </c>
      <c r="E15" s="51" t="s">
        <v>248</v>
      </c>
      <c r="G15" t="s">
        <v>198</v>
      </c>
      <c r="H15" t="s">
        <v>199</v>
      </c>
      <c r="I15" t="s">
        <v>200</v>
      </c>
      <c r="J15" t="s">
        <v>201</v>
      </c>
    </row>
    <row r="16" spans="1:11">
      <c r="A16" s="124" t="s">
        <v>129</v>
      </c>
      <c r="B16" s="124"/>
      <c r="C16" s="124"/>
      <c r="D16" s="124"/>
      <c r="E16" s="124"/>
    </row>
    <row r="17" spans="1:5">
      <c r="A17" t="s">
        <v>162</v>
      </c>
      <c r="B17" s="51">
        <v>399.22</v>
      </c>
      <c r="C17" s="51">
        <v>327.32</v>
      </c>
      <c r="D17" s="51">
        <v>387.21</v>
      </c>
      <c r="E17" s="51">
        <v>387.29</v>
      </c>
    </row>
    <row r="18" spans="1:5">
      <c r="A18" t="s">
        <v>202</v>
      </c>
      <c r="B18" s="51">
        <v>432.6</v>
      </c>
      <c r="C18" s="51">
        <v>360.69</v>
      </c>
      <c r="D18" s="51">
        <v>425.16</v>
      </c>
      <c r="E18" s="51">
        <v>425.23</v>
      </c>
    </row>
  </sheetData>
  <mergeCells count="6">
    <mergeCell ref="A16:E16"/>
    <mergeCell ref="B1:E1"/>
    <mergeCell ref="A1:A2"/>
    <mergeCell ref="A13:E13"/>
    <mergeCell ref="A8:E8"/>
    <mergeCell ref="A3:E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57"/>
  <sheetViews>
    <sheetView zoomScale="85" zoomScaleNormal="85" workbookViewId="0">
      <selection activeCell="B9" sqref="B9:F10"/>
    </sheetView>
  </sheetViews>
  <sheetFormatPr baseColWidth="10" defaultRowHeight="15"/>
  <cols>
    <col min="1" max="1" width="23.5703125" customWidth="1"/>
    <col min="2" max="2" width="23.140625" style="51" customWidth="1"/>
    <col min="3" max="5" width="25.7109375" style="51" customWidth="1"/>
    <col min="6" max="6" width="23.140625" style="51" customWidth="1"/>
    <col min="7" max="7" width="7.7109375" style="51" customWidth="1"/>
    <col min="8" max="11" width="11.42578125" style="51"/>
  </cols>
  <sheetData>
    <row r="1" spans="1:12" ht="20.25" customHeight="1">
      <c r="A1" s="77" t="s">
        <v>0</v>
      </c>
      <c r="B1" s="77" t="s">
        <v>137</v>
      </c>
      <c r="C1" s="77" t="s">
        <v>138</v>
      </c>
      <c r="D1" s="77" t="s">
        <v>139</v>
      </c>
      <c r="E1" s="77" t="s">
        <v>140</v>
      </c>
      <c r="F1" s="78" t="s">
        <v>141</v>
      </c>
      <c r="G1" s="80"/>
      <c r="H1" s="63"/>
      <c r="I1" s="63"/>
      <c r="J1" s="63"/>
      <c r="K1" s="63"/>
      <c r="L1" s="63"/>
    </row>
    <row r="2" spans="1:12">
      <c r="A2" s="87" t="s">
        <v>134</v>
      </c>
      <c r="B2" s="79"/>
      <c r="C2" s="79"/>
      <c r="D2" s="79"/>
      <c r="E2" s="79"/>
      <c r="F2" s="80"/>
      <c r="G2" s="80"/>
      <c r="H2" s="63"/>
      <c r="I2" s="63"/>
      <c r="J2" s="63"/>
      <c r="K2" s="63"/>
      <c r="L2" s="63"/>
    </row>
    <row r="3" spans="1:12">
      <c r="A3" s="87" t="s">
        <v>19</v>
      </c>
      <c r="B3" s="66"/>
      <c r="C3" s="66"/>
      <c r="D3" s="66"/>
      <c r="E3" s="66"/>
      <c r="F3" s="67"/>
      <c r="G3" s="67"/>
      <c r="H3" s="63"/>
      <c r="I3" s="63"/>
      <c r="J3" s="63"/>
      <c r="K3" s="63"/>
      <c r="L3" s="63"/>
    </row>
    <row r="4" spans="1:12" ht="60">
      <c r="A4" s="87" t="s">
        <v>20</v>
      </c>
      <c r="B4" s="81" t="s">
        <v>34</v>
      </c>
      <c r="C4" s="81" t="s">
        <v>35</v>
      </c>
      <c r="D4" s="81" t="s">
        <v>36</v>
      </c>
      <c r="E4" s="81" t="s">
        <v>36</v>
      </c>
      <c r="F4" s="82" t="s">
        <v>37</v>
      </c>
      <c r="G4" s="82"/>
      <c r="H4" s="63"/>
      <c r="I4" s="63"/>
      <c r="J4" s="63"/>
      <c r="K4" s="63"/>
      <c r="L4" s="63"/>
    </row>
    <row r="5" spans="1:12">
      <c r="A5" s="87" t="s">
        <v>38</v>
      </c>
      <c r="B5" s="79"/>
      <c r="C5" s="79"/>
      <c r="D5" s="79"/>
      <c r="E5" s="79"/>
      <c r="F5" s="80"/>
      <c r="G5" s="80"/>
      <c r="H5" s="63"/>
      <c r="I5" s="63"/>
      <c r="J5" s="63"/>
      <c r="K5" s="63"/>
      <c r="L5" s="63"/>
    </row>
    <row r="6" spans="1:12">
      <c r="A6" s="81" t="s">
        <v>39</v>
      </c>
      <c r="B6" s="81"/>
      <c r="C6" s="81"/>
      <c r="D6" s="81"/>
      <c r="E6" s="81"/>
      <c r="F6" s="82"/>
      <c r="G6" s="82"/>
      <c r="H6" s="63"/>
      <c r="I6" s="63"/>
      <c r="J6" s="63"/>
      <c r="K6" s="63"/>
      <c r="L6" s="63"/>
    </row>
    <row r="7" spans="1:12">
      <c r="A7" s="87" t="s">
        <v>40</v>
      </c>
      <c r="B7" s="83"/>
      <c r="C7" s="83"/>
      <c r="D7" s="83"/>
      <c r="E7" s="83"/>
      <c r="F7" s="84"/>
      <c r="G7" s="97"/>
      <c r="H7" s="63"/>
      <c r="I7" s="63"/>
      <c r="J7" s="63"/>
      <c r="K7" s="63"/>
      <c r="L7" s="63"/>
    </row>
    <row r="8" spans="1:12">
      <c r="A8" s="87" t="s">
        <v>41</v>
      </c>
      <c r="B8" s="83"/>
      <c r="C8" s="83"/>
      <c r="D8" s="83"/>
      <c r="E8" s="83"/>
      <c r="F8" s="84"/>
      <c r="G8" s="97"/>
      <c r="H8" s="81"/>
      <c r="I8" s="81"/>
      <c r="J8" s="81"/>
      <c r="K8" s="81"/>
      <c r="L8" s="82"/>
    </row>
    <row r="9" spans="1:12">
      <c r="A9" s="87" t="s">
        <v>42</v>
      </c>
      <c r="B9" s="55">
        <v>943.44</v>
      </c>
      <c r="C9" s="55">
        <v>955.49</v>
      </c>
      <c r="D9" s="55">
        <v>943.04</v>
      </c>
      <c r="E9" s="55">
        <v>977.8</v>
      </c>
      <c r="F9" s="56">
        <v>983.9</v>
      </c>
      <c r="G9" s="56"/>
      <c r="H9" s="63"/>
      <c r="I9" s="63"/>
      <c r="J9" s="63"/>
      <c r="K9" s="63"/>
      <c r="L9" s="63"/>
    </row>
    <row r="10" spans="1:12">
      <c r="A10" s="87" t="s">
        <v>43</v>
      </c>
      <c r="B10" s="55">
        <v>985.54</v>
      </c>
      <c r="C10" s="55">
        <v>1008.1</v>
      </c>
      <c r="D10" s="55">
        <v>995.66</v>
      </c>
      <c r="E10" s="55">
        <v>1025.1600000000001</v>
      </c>
      <c r="F10" s="56">
        <v>1026</v>
      </c>
      <c r="G10" s="56"/>
      <c r="H10" s="63"/>
      <c r="I10" s="63"/>
      <c r="J10" s="63"/>
      <c r="K10" s="63"/>
      <c r="L10" s="63"/>
    </row>
    <row r="11" spans="1:12">
      <c r="A11" s="81" t="s">
        <v>44</v>
      </c>
      <c r="B11" s="81"/>
      <c r="C11" s="81"/>
      <c r="D11" s="81"/>
      <c r="E11" s="81"/>
      <c r="F11" s="82"/>
      <c r="G11" s="82"/>
      <c r="H11" s="63"/>
      <c r="I11" s="63"/>
      <c r="J11" s="63"/>
      <c r="K11" s="63"/>
      <c r="L11" s="63"/>
    </row>
    <row r="12" spans="1:12">
      <c r="A12" s="87" t="s">
        <v>45</v>
      </c>
      <c r="B12" s="85"/>
      <c r="C12" s="85"/>
      <c r="D12" s="85"/>
      <c r="E12" s="85"/>
      <c r="F12" s="86"/>
      <c r="G12" s="86"/>
      <c r="H12" s="63"/>
      <c r="I12" s="63"/>
      <c r="J12" s="63"/>
      <c r="K12" s="63"/>
      <c r="L12" s="63"/>
    </row>
    <row r="13" spans="1:12">
      <c r="A13" s="87" t="s">
        <v>46</v>
      </c>
      <c r="B13" s="79"/>
      <c r="C13" s="79"/>
      <c r="D13" s="79"/>
      <c r="E13" s="79"/>
      <c r="F13" s="80"/>
      <c r="G13" s="80"/>
      <c r="H13" s="63"/>
      <c r="I13" s="63"/>
      <c r="J13" s="63"/>
      <c r="K13" s="63"/>
      <c r="L13" s="63"/>
    </row>
    <row r="14" spans="1:12">
      <c r="A14" s="81" t="s">
        <v>47</v>
      </c>
      <c r="B14" s="79" t="s">
        <v>48</v>
      </c>
      <c r="C14" s="79" t="s">
        <v>48</v>
      </c>
      <c r="D14" s="79" t="s">
        <v>48</v>
      </c>
      <c r="E14" s="79" t="s">
        <v>48</v>
      </c>
      <c r="F14" s="80" t="s">
        <v>48</v>
      </c>
      <c r="G14" s="80"/>
      <c r="H14" s="63"/>
      <c r="I14" s="63"/>
      <c r="J14" s="63"/>
      <c r="K14" s="63"/>
      <c r="L14" s="63"/>
    </row>
    <row r="15" spans="1:12">
      <c r="A15" s="87" t="s">
        <v>50</v>
      </c>
      <c r="B15" s="55">
        <v>5.16</v>
      </c>
      <c r="C15" s="55">
        <v>4.3899999999999997</v>
      </c>
      <c r="D15" s="55">
        <v>5.14</v>
      </c>
      <c r="E15" s="55">
        <v>5.13</v>
      </c>
      <c r="F15" s="56">
        <v>5</v>
      </c>
      <c r="G15" s="56"/>
      <c r="H15" s="63" t="str">
        <f>B15&amp;" ("&amp;ROUND(B16*100,1)&amp;"/%)"</f>
        <v>5.16 (6.9/%)</v>
      </c>
      <c r="I15" s="63" t="str">
        <f>C15&amp;" ("&amp;ROUND(C16*100,1)&amp;"/%)"</f>
        <v>4.39 (9/%)</v>
      </c>
      <c r="J15" s="63" t="str">
        <f t="shared" ref="J15:L15" si="0">D15&amp;" ("&amp;ROUND(D16*100,1)&amp;"/%)"</f>
        <v>5.14 (7/%)</v>
      </c>
      <c r="K15" s="63" t="str">
        <f t="shared" si="0"/>
        <v>5.13 (7.1/%)</v>
      </c>
      <c r="L15" s="63" t="str">
        <f t="shared" si="0"/>
        <v>5 (104/%)</v>
      </c>
    </row>
    <row r="16" spans="1:12">
      <c r="A16" s="87"/>
      <c r="B16" s="58">
        <v>6.9199999999999998E-2</v>
      </c>
      <c r="C16" s="58">
        <v>9.0200000000000002E-2</v>
      </c>
      <c r="D16" s="58">
        <v>6.9800000000000001E-2</v>
      </c>
      <c r="E16" s="58">
        <v>7.0900000000000005E-2</v>
      </c>
      <c r="F16" s="57">
        <v>1.0398000000000001</v>
      </c>
      <c r="G16" s="57"/>
      <c r="H16" s="63"/>
      <c r="I16" s="63"/>
      <c r="J16" s="63"/>
      <c r="K16" s="63"/>
      <c r="L16" s="63"/>
    </row>
    <row r="17" spans="1:12">
      <c r="A17" s="87" t="s">
        <v>52</v>
      </c>
      <c r="B17" s="55">
        <v>20.29</v>
      </c>
      <c r="C17" s="55">
        <v>23.06</v>
      </c>
      <c r="D17" s="55">
        <v>21.17</v>
      </c>
      <c r="E17" s="55">
        <v>20.63</v>
      </c>
      <c r="F17" s="56">
        <v>21.95</v>
      </c>
      <c r="G17" s="56"/>
      <c r="H17" s="63" t="str">
        <f>B17&amp;" ("&amp;ROUND(B18*100,1)&amp;"/%)"</f>
        <v>20.29 (8.7/%)</v>
      </c>
      <c r="I17" s="63" t="str">
        <f>C17&amp;" ("&amp;ROUND(C18*100,1)&amp;"/%)"</f>
        <v>23.06 (7.9/%)</v>
      </c>
      <c r="J17" s="63" t="str">
        <f t="shared" ref="J17" si="1">D17&amp;" ("&amp;ROUND(D18*100,1)&amp;"/%)"</f>
        <v>21.17 (9.1/%)</v>
      </c>
      <c r="K17" s="63" t="str">
        <f t="shared" ref="K17:L17" si="2">E17&amp;" ("&amp;ROUND(E18*100,1)&amp;"/%)"</f>
        <v>20.63 (8.6/%)</v>
      </c>
      <c r="L17" s="63" t="str">
        <f t="shared" si="2"/>
        <v>21.95 (85.8/%)</v>
      </c>
    </row>
    <row r="18" spans="1:12">
      <c r="A18" s="87"/>
      <c r="B18" s="58">
        <v>8.6599999999999996E-2</v>
      </c>
      <c r="C18" s="58">
        <v>7.9399999999999998E-2</v>
      </c>
      <c r="D18" s="58">
        <v>9.1300000000000006E-2</v>
      </c>
      <c r="E18" s="58">
        <v>8.6400000000000005E-2</v>
      </c>
      <c r="F18" s="57">
        <v>0.85750000000000004</v>
      </c>
      <c r="G18" s="57"/>
      <c r="H18" s="63"/>
      <c r="I18" s="63"/>
      <c r="J18" s="63"/>
      <c r="K18" s="63"/>
      <c r="L18" s="63"/>
    </row>
    <row r="19" spans="1:12">
      <c r="A19" s="87" t="s">
        <v>53</v>
      </c>
      <c r="B19" s="55">
        <v>6.18</v>
      </c>
      <c r="C19" s="55">
        <v>4.96</v>
      </c>
      <c r="D19" s="55">
        <v>5.4</v>
      </c>
      <c r="E19" s="55">
        <v>5.88</v>
      </c>
      <c r="F19" s="56">
        <v>5.04</v>
      </c>
      <c r="G19" s="56"/>
      <c r="H19" s="63" t="str">
        <f>B19&amp;" ("&amp;ROUND(B20*100,1)&amp;"/%)"</f>
        <v>6.18 (23.3/%)</v>
      </c>
      <c r="I19" s="63" t="str">
        <f>C19&amp;" ("&amp;ROUND(C20*100,1)&amp;"/%)"</f>
        <v>4.96 (15.5/%)</v>
      </c>
      <c r="J19" s="63" t="str">
        <f t="shared" ref="J19" si="3">D19&amp;" ("&amp;ROUND(D20*100,1)&amp;"/%)"</f>
        <v>5.4 (25.8/%)</v>
      </c>
      <c r="K19" s="63" t="str">
        <f t="shared" ref="K19:L19" si="4">E19&amp;" ("&amp;ROUND(E20*100,1)&amp;"/%)"</f>
        <v>5.88 (22.8/%)</v>
      </c>
      <c r="L19" s="63" t="str">
        <f t="shared" si="4"/>
        <v>5.04 (144.7/%)</v>
      </c>
    </row>
    <row r="20" spans="1:12">
      <c r="A20" s="87"/>
      <c r="B20" s="58">
        <v>0.23269999999999999</v>
      </c>
      <c r="C20" s="58">
        <v>0.15529999999999999</v>
      </c>
      <c r="D20" s="58">
        <v>0.25819999999999999</v>
      </c>
      <c r="E20" s="58">
        <v>0.2283</v>
      </c>
      <c r="F20" s="57">
        <v>1.4472</v>
      </c>
      <c r="G20" s="57"/>
      <c r="H20" s="63"/>
      <c r="I20" s="63"/>
      <c r="J20" s="63"/>
      <c r="K20" s="63"/>
      <c r="L20" s="63"/>
    </row>
    <row r="21" spans="1:12">
      <c r="A21" s="87" t="s">
        <v>54</v>
      </c>
      <c r="B21" s="55">
        <v>23.58</v>
      </c>
      <c r="C21" s="55">
        <v>75.28</v>
      </c>
      <c r="D21" s="55">
        <v>27.46</v>
      </c>
      <c r="E21" s="55">
        <v>25.67</v>
      </c>
      <c r="F21" s="56">
        <v>33.89</v>
      </c>
      <c r="G21" s="56"/>
      <c r="H21" s="63" t="str">
        <f>B21&amp;" ("&amp;ROUND(B22*100,1)&amp;"/%)"</f>
        <v>23.58 (14.5/%)</v>
      </c>
      <c r="I21" s="63" t="str">
        <f>C21&amp;" ("&amp;ROUND(C22*100,1)&amp;"/%)"</f>
        <v>75.28 (47.3/%)</v>
      </c>
      <c r="J21" s="63" t="str">
        <f t="shared" ref="J21" si="5">D21&amp;" ("&amp;ROUND(D22*100,1)&amp;"/%)"</f>
        <v>27.46 (23.1/%)</v>
      </c>
      <c r="K21" s="63" t="str">
        <f t="shared" ref="K21:L21" si="6">E21&amp;" ("&amp;ROUND(E22*100,1)&amp;"/%)"</f>
        <v>25.67 (16.1/%)</v>
      </c>
      <c r="L21" s="63" t="str">
        <f t="shared" si="6"/>
        <v>33.89 (1125/%)</v>
      </c>
    </row>
    <row r="22" spans="1:12">
      <c r="A22" s="87"/>
      <c r="B22" s="58">
        <v>0.14499999999999999</v>
      </c>
      <c r="C22" s="58">
        <v>0.47289999999999999</v>
      </c>
      <c r="D22" s="58">
        <v>0.23050000000000001</v>
      </c>
      <c r="E22" s="58">
        <v>0.16139999999999999</v>
      </c>
      <c r="F22" s="57">
        <v>11.2499</v>
      </c>
      <c r="G22" s="57"/>
      <c r="H22" s="63"/>
      <c r="I22" s="63"/>
      <c r="J22" s="63"/>
      <c r="K22" s="63"/>
      <c r="L22" s="63"/>
    </row>
    <row r="23" spans="1:12">
      <c r="A23" s="81" t="s">
        <v>58</v>
      </c>
      <c r="B23" s="79" t="s">
        <v>48</v>
      </c>
      <c r="C23" s="79" t="s">
        <v>48</v>
      </c>
      <c r="D23" s="79" t="s">
        <v>48</v>
      </c>
      <c r="E23" s="79" t="s">
        <v>48</v>
      </c>
      <c r="F23" s="80" t="s">
        <v>48</v>
      </c>
      <c r="G23" s="80"/>
      <c r="H23" s="63"/>
      <c r="I23" s="63"/>
      <c r="J23" s="63"/>
      <c r="K23" s="63"/>
      <c r="L23" s="63"/>
    </row>
    <row r="24" spans="1:12">
      <c r="A24" s="87" t="s">
        <v>59</v>
      </c>
      <c r="B24" s="55">
        <v>0.26</v>
      </c>
      <c r="C24" s="55">
        <v>0.25</v>
      </c>
      <c r="D24" s="55">
        <v>0.26</v>
      </c>
      <c r="E24" s="55">
        <v>0.26</v>
      </c>
      <c r="F24" s="56">
        <v>0.26</v>
      </c>
      <c r="G24" s="56"/>
      <c r="H24" s="63" t="str">
        <f>B24&amp;" ("&amp;ROUND(B25*100,1)&amp;"/%)"</f>
        <v>0.26 (19.5/%)</v>
      </c>
      <c r="I24" s="63" t="str">
        <f>C24&amp;" ("&amp;ROUND(C25*100,1)&amp;"/%)"</f>
        <v>0.25 (24.9/%)</v>
      </c>
      <c r="J24" s="63" t="str">
        <f t="shared" ref="J24" si="7">D24&amp;" ("&amp;ROUND(D25*100,1)&amp;"/%)"</f>
        <v>0.26 (19.6/%)</v>
      </c>
      <c r="K24" s="63" t="str">
        <f t="shared" ref="K24:L24" si="8">E24&amp;" ("&amp;ROUND(E25*100,1)&amp;"/%)"</f>
        <v>0.26 (19.8/%)</v>
      </c>
      <c r="L24" s="63" t="str">
        <f t="shared" si="8"/>
        <v>0.26 (62.7/%)</v>
      </c>
    </row>
    <row r="25" spans="1:12">
      <c r="A25" s="87"/>
      <c r="B25" s="58">
        <v>0.19500000000000001</v>
      </c>
      <c r="C25" s="58">
        <v>0.249</v>
      </c>
      <c r="D25" s="58">
        <v>0.1956</v>
      </c>
      <c r="E25" s="58">
        <v>0.1976</v>
      </c>
      <c r="F25" s="57">
        <v>0.62709999999999999</v>
      </c>
      <c r="G25" s="57"/>
      <c r="H25" s="63"/>
      <c r="I25" s="63"/>
      <c r="J25" s="63"/>
      <c r="K25" s="63"/>
      <c r="L25" s="63"/>
    </row>
    <row r="26" spans="1:12">
      <c r="A26" s="87" t="s">
        <v>63</v>
      </c>
      <c r="B26" s="55">
        <v>0.27</v>
      </c>
      <c r="C26" s="55">
        <v>0.24</v>
      </c>
      <c r="D26" s="55">
        <v>0.23</v>
      </c>
      <c r="E26" s="55">
        <v>0.25</v>
      </c>
      <c r="F26" s="56">
        <v>0.25</v>
      </c>
      <c r="G26" s="56"/>
      <c r="H26" s="63" t="str">
        <f>B26&amp;" ("&amp;ROUND(B27*100,1)&amp;"/%)"</f>
        <v>0.27 (25.3/%)</v>
      </c>
      <c r="I26" s="63" t="str">
        <f>C26&amp;" ("&amp;ROUND(C27*100,1)&amp;"/%)"</f>
        <v>0.24 (23.5/%)</v>
      </c>
      <c r="J26" s="63" t="str">
        <f t="shared" ref="J26" si="9">D26&amp;" ("&amp;ROUND(D27*100,1)&amp;"/%)"</f>
        <v>0.23 (24.9/%)</v>
      </c>
      <c r="K26" s="63" t="str">
        <f t="shared" ref="K26:L26" si="10">E26&amp;" ("&amp;ROUND(E27*100,1)&amp;"/%)"</f>
        <v>0.25 (24.4/%)</v>
      </c>
      <c r="L26" s="63" t="str">
        <f t="shared" si="10"/>
        <v>0.25 (105/%)</v>
      </c>
    </row>
    <row r="27" spans="1:12">
      <c r="A27" s="87"/>
      <c r="B27" s="58">
        <v>0.25319999999999998</v>
      </c>
      <c r="C27" s="58">
        <v>0.23499999999999999</v>
      </c>
      <c r="D27" s="58">
        <v>0.2485</v>
      </c>
      <c r="E27" s="58">
        <v>0.24410000000000001</v>
      </c>
      <c r="F27" s="57">
        <v>1.0502</v>
      </c>
      <c r="G27" s="57"/>
      <c r="H27" s="63"/>
      <c r="I27" s="63"/>
      <c r="J27" s="63"/>
      <c r="K27" s="63"/>
      <c r="L27" s="63"/>
    </row>
    <row r="28" spans="1:12">
      <c r="A28" s="87" t="s">
        <v>62</v>
      </c>
      <c r="B28" s="55">
        <v>0.68</v>
      </c>
      <c r="C28" s="55">
        <v>0.32</v>
      </c>
      <c r="D28" s="55">
        <v>0.7</v>
      </c>
      <c r="E28" s="55">
        <v>0.66</v>
      </c>
      <c r="F28" s="56">
        <v>0.54</v>
      </c>
      <c r="G28" s="56"/>
      <c r="H28" s="63" t="str">
        <f>B28&amp;" ("&amp;ROUND(B29*100,1)&amp;"/%)"</f>
        <v>0.68 (25.4/%)</v>
      </c>
      <c r="I28" s="63" t="str">
        <f>C28&amp;" ("&amp;ROUND(C29*100,1)&amp;"/%)"</f>
        <v>0.32 (41.2/%)</v>
      </c>
      <c r="J28" s="63" t="str">
        <f t="shared" ref="J28" si="11">D28&amp;" ("&amp;ROUND(D29*100,1)&amp;"/%)"</f>
        <v>0.7 (29.9/%)</v>
      </c>
      <c r="K28" s="63" t="str">
        <f t="shared" ref="K28:L28" si="12">E28&amp;" ("&amp;ROUND(E29*100,1)&amp;"/%)"</f>
        <v>0.66 (26.8/%)</v>
      </c>
      <c r="L28" s="63" t="str">
        <f t="shared" si="12"/>
        <v>0.54 (556.1/%)</v>
      </c>
    </row>
    <row r="29" spans="1:12">
      <c r="A29" s="87"/>
      <c r="B29" s="58">
        <v>0.25380000000000003</v>
      </c>
      <c r="C29" s="58">
        <v>0.41220000000000001</v>
      </c>
      <c r="D29" s="58">
        <v>0.2989</v>
      </c>
      <c r="E29" s="58">
        <v>0.26800000000000002</v>
      </c>
      <c r="F29" s="57">
        <v>5.5605000000000002</v>
      </c>
      <c r="G29" s="57"/>
      <c r="H29" s="63"/>
      <c r="I29" s="63"/>
      <c r="J29" s="63"/>
      <c r="K29" s="63"/>
      <c r="L29" s="63"/>
    </row>
    <row r="30" spans="1:12">
      <c r="A30" s="87" t="s">
        <v>64</v>
      </c>
      <c r="B30" s="55">
        <v>0.3</v>
      </c>
      <c r="C30" s="55">
        <v>1.1100000000000001</v>
      </c>
      <c r="D30" s="55">
        <v>0.22</v>
      </c>
      <c r="E30" s="55">
        <v>0.37</v>
      </c>
      <c r="F30" s="56">
        <v>0.69</v>
      </c>
      <c r="G30" s="56"/>
      <c r="H30" s="63" t="str">
        <f>B30&amp;" ("&amp;ROUND(B31*100,1)&amp;"/%)"</f>
        <v>0.3 (44.5/%)</v>
      </c>
      <c r="I30" s="63" t="str">
        <f>C30&amp;" ("&amp;ROUND(C31*100,1)&amp;"/%)"</f>
        <v>1.11 (30.7/%)</v>
      </c>
      <c r="J30" s="63" t="str">
        <f t="shared" ref="J30" si="13">D30&amp;" ("&amp;ROUND(D31*100,1)&amp;"/%)"</f>
        <v>0.22 (175.7/%)</v>
      </c>
      <c r="K30" s="63" t="str">
        <f t="shared" ref="K30:L30" si="14">E30&amp;" ("&amp;ROUND(E31*100,1)&amp;"/%)"</f>
        <v>0.37 (47/%)</v>
      </c>
      <c r="L30" s="63" t="str">
        <f t="shared" si="14"/>
        <v>0.69 (1952.8/%)</v>
      </c>
    </row>
    <row r="31" spans="1:12">
      <c r="A31" s="87"/>
      <c r="B31" s="58">
        <v>0.44500000000000001</v>
      </c>
      <c r="C31" s="58">
        <v>0.30730000000000002</v>
      </c>
      <c r="D31" s="58">
        <v>1.7569999999999999</v>
      </c>
      <c r="E31" s="58">
        <v>0.47</v>
      </c>
      <c r="F31" s="57">
        <v>19.527999999999999</v>
      </c>
      <c r="G31" s="57"/>
      <c r="H31" s="63"/>
      <c r="I31" s="63"/>
      <c r="J31" s="63"/>
      <c r="K31" s="63"/>
      <c r="L31" s="63"/>
    </row>
    <row r="32" spans="1:12">
      <c r="A32" s="81" t="s">
        <v>68</v>
      </c>
      <c r="B32" s="79" t="s">
        <v>48</v>
      </c>
      <c r="C32" s="79" t="s">
        <v>48</v>
      </c>
      <c r="D32" s="79" t="s">
        <v>48</v>
      </c>
      <c r="E32" s="79" t="s">
        <v>48</v>
      </c>
      <c r="F32" s="80" t="s">
        <v>48</v>
      </c>
      <c r="G32" s="80"/>
      <c r="H32" s="63"/>
      <c r="I32" s="63"/>
      <c r="J32" s="63"/>
      <c r="K32" s="63"/>
      <c r="L32" s="63"/>
    </row>
    <row r="33" spans="1:12">
      <c r="A33" s="87" t="s">
        <v>70</v>
      </c>
      <c r="B33" s="55">
        <v>0.31</v>
      </c>
      <c r="C33" s="55">
        <v>0.3</v>
      </c>
      <c r="D33" s="55">
        <v>0.3</v>
      </c>
      <c r="E33" s="55"/>
      <c r="F33" s="60"/>
      <c r="G33" s="98"/>
      <c r="H33" s="63" t="str">
        <f>B33&amp;" ("&amp;ROUND(B34*100,1)&amp;"/%)"</f>
        <v>0.31 (7.6/%)</v>
      </c>
      <c r="I33" s="63" t="str">
        <f>C33&amp;" ("&amp;ROUND(C34*100,1)&amp;"/%)"</f>
        <v>0.3 (23.5/%)</v>
      </c>
      <c r="J33" s="63" t="str">
        <f t="shared" ref="J33" si="15">D33&amp;" ("&amp;ROUND(D34*100,1)&amp;"/%)"</f>
        <v>0.3 (22.4/%)</v>
      </c>
      <c r="K33" s="63" t="str">
        <f t="shared" ref="K33:L33" si="16">E33&amp;" ("&amp;ROUND(E34*100,1)&amp;"/%)"</f>
        <v xml:space="preserve"> (0/%)</v>
      </c>
      <c r="L33" s="63" t="str">
        <f t="shared" si="16"/>
        <v xml:space="preserve"> (0/%)</v>
      </c>
    </row>
    <row r="34" spans="1:12">
      <c r="A34" s="87"/>
      <c r="B34" s="58">
        <v>7.5800000000000006E-2</v>
      </c>
      <c r="C34" s="58">
        <v>0.2351</v>
      </c>
      <c r="D34" s="58">
        <v>0.22389999999999999</v>
      </c>
      <c r="E34" s="58"/>
      <c r="F34" s="60"/>
      <c r="G34" s="98"/>
      <c r="H34" s="63"/>
      <c r="I34" s="63"/>
      <c r="J34" s="63"/>
      <c r="K34" s="63"/>
      <c r="L34" s="63"/>
    </row>
    <row r="35" spans="1:12">
      <c r="A35" s="87" t="s">
        <v>71</v>
      </c>
      <c r="B35" s="55">
        <v>6.0999999999999999E-2</v>
      </c>
      <c r="C35" s="55">
        <v>1.7000000000000001E-2</v>
      </c>
      <c r="D35" s="55">
        <v>4.7E-2</v>
      </c>
      <c r="E35" s="59">
        <v>5.0999999999999997E-2</v>
      </c>
      <c r="F35" s="60"/>
      <c r="G35" s="98"/>
      <c r="H35" s="63" t="str">
        <f>B35&amp;" ("&amp;ROUND(B36*100,1)&amp;"/%)"</f>
        <v>0.061 (11.5/%)</v>
      </c>
      <c r="I35" s="63" t="str">
        <f>C35&amp;" ("&amp;ROUND(C36*100,1)&amp;"/%)"</f>
        <v>0.017 (195.7/%)</v>
      </c>
      <c r="J35" s="63" t="str">
        <f t="shared" ref="J35" si="17">D35&amp;" ("&amp;ROUND(D36*100,1)&amp;"/%)"</f>
        <v>0.047 (73.2/%)</v>
      </c>
      <c r="K35" s="63" t="str">
        <f t="shared" ref="K35:L35" si="18">E35&amp;" ("&amp;ROUND(E36*100,1)&amp;"/%)"</f>
        <v>0.051 (50.9/%)</v>
      </c>
      <c r="L35" s="63" t="str">
        <f t="shared" si="18"/>
        <v xml:space="preserve"> (0/%)</v>
      </c>
    </row>
    <row r="36" spans="1:12">
      <c r="A36" s="87"/>
      <c r="B36" s="58">
        <v>0.1154</v>
      </c>
      <c r="C36" s="58">
        <v>1.9571000000000001</v>
      </c>
      <c r="D36" s="58">
        <v>0.7319</v>
      </c>
      <c r="E36" s="96">
        <v>0.50870000000000004</v>
      </c>
      <c r="F36" s="60"/>
      <c r="G36" s="98"/>
      <c r="H36" s="63"/>
      <c r="I36" s="63"/>
      <c r="J36" s="63"/>
      <c r="K36" s="63"/>
      <c r="L36" s="63"/>
    </row>
    <row r="37" spans="1:12">
      <c r="A37" s="87" t="s">
        <v>73</v>
      </c>
      <c r="B37" s="59"/>
      <c r="C37" s="55">
        <v>0</v>
      </c>
      <c r="D37" s="55">
        <v>0</v>
      </c>
      <c r="E37" s="55">
        <v>0.14000000000000001</v>
      </c>
      <c r="F37" s="56">
        <v>0.14000000000000001</v>
      </c>
      <c r="G37" s="56"/>
      <c r="H37" s="63" t="str">
        <f>B37&amp;" ("&amp;ROUND(B38*100,1)&amp;"/%)"</f>
        <v xml:space="preserve"> (0/%)</v>
      </c>
      <c r="I37" s="63" t="str">
        <f>C37&amp;" ("&amp;ROUND(C38*100,1)&amp;"/%)"</f>
        <v>0 (12943983979421300/%)</v>
      </c>
      <c r="J37" s="63" t="str">
        <f t="shared" ref="J37" si="19">D37&amp;" ("&amp;ROUND(D38*100,1)&amp;"/%)"</f>
        <v>0 (11636755904979000/%)</v>
      </c>
      <c r="K37" s="63" t="str">
        <f t="shared" ref="K37:L37" si="20">E37&amp;" ("&amp;ROUND(E38*100,1)&amp;"/%)"</f>
        <v>0.14 (7.4/%)</v>
      </c>
      <c r="L37" s="63" t="str">
        <f t="shared" si="20"/>
        <v>0.14 (7.6/%)</v>
      </c>
    </row>
    <row r="38" spans="1:12">
      <c r="A38" s="87"/>
      <c r="B38" s="59"/>
      <c r="C38" s="76">
        <v>129439839794213</v>
      </c>
      <c r="D38" s="76">
        <v>116367559049790</v>
      </c>
      <c r="E38" s="76">
        <v>7.4099999999999999E-2</v>
      </c>
      <c r="F38" s="57">
        <v>7.5600000000000001E-2</v>
      </c>
      <c r="G38" s="57"/>
      <c r="H38" s="63"/>
      <c r="I38" s="63"/>
      <c r="J38" s="63"/>
      <c r="K38" s="63"/>
      <c r="L38" s="63"/>
    </row>
    <row r="39" spans="1:12">
      <c r="A39" s="87" t="s">
        <v>74</v>
      </c>
      <c r="B39" s="59"/>
      <c r="C39" s="55">
        <v>0.02</v>
      </c>
      <c r="D39" s="55">
        <v>5.8999999999999999E-3</v>
      </c>
      <c r="E39" s="55">
        <v>3.2000000000000002E-3</v>
      </c>
      <c r="F39" s="56">
        <v>2.4E-2</v>
      </c>
      <c r="G39" s="56"/>
      <c r="H39" s="63" t="str">
        <f>B39&amp;" ("&amp;ROUND(B40*100,1)&amp;"/%)"</f>
        <v xml:space="preserve"> (0/%)</v>
      </c>
      <c r="I39" s="63" t="str">
        <f>C39&amp;" ("&amp;ROUND(C40*100,1)&amp;"/%)"</f>
        <v>0.02 (77.8/%)</v>
      </c>
      <c r="J39" s="63" t="str">
        <f t="shared" ref="J39" si="21">D39&amp;" ("&amp;ROUND(D40*100,1)&amp;"/%)"</f>
        <v>0.0059 (209.8/%)</v>
      </c>
      <c r="K39" s="63" t="str">
        <f t="shared" ref="K39:L39" si="22">E39&amp;" ("&amp;ROUND(E40*100,1)&amp;"/%)"</f>
        <v>0.0032 (301/%)</v>
      </c>
      <c r="L39" s="63" t="str">
        <f t="shared" si="22"/>
        <v>0.024 (45.3/%)</v>
      </c>
    </row>
    <row r="40" spans="1:12">
      <c r="A40" s="87"/>
      <c r="B40" s="59"/>
      <c r="C40" s="58">
        <v>0.7782</v>
      </c>
      <c r="D40" s="58">
        <v>2.0979000000000001</v>
      </c>
      <c r="E40" s="58">
        <v>3.0102000000000002</v>
      </c>
      <c r="F40" s="57">
        <v>0.45329999999999998</v>
      </c>
      <c r="G40" s="57"/>
      <c r="H40" s="63"/>
      <c r="I40" s="63"/>
      <c r="J40" s="63"/>
      <c r="K40" s="63"/>
      <c r="L40" s="63"/>
    </row>
    <row r="41" spans="1:12">
      <c r="A41" s="81" t="s">
        <v>75</v>
      </c>
      <c r="B41" s="81"/>
      <c r="C41" s="81"/>
      <c r="D41" s="81"/>
      <c r="E41" s="81"/>
      <c r="F41" s="82"/>
      <c r="G41" s="82"/>
      <c r="H41" s="63"/>
      <c r="I41" s="63"/>
      <c r="J41" s="63"/>
      <c r="K41" s="63"/>
      <c r="L41" s="63"/>
    </row>
    <row r="42" spans="1:12" ht="24">
      <c r="A42" s="74" t="s">
        <v>205</v>
      </c>
      <c r="B42" s="88"/>
      <c r="C42" s="89"/>
      <c r="D42" s="88">
        <v>1000</v>
      </c>
      <c r="E42" s="88">
        <v>1000</v>
      </c>
      <c r="F42" s="90"/>
      <c r="G42" s="99"/>
      <c r="H42" s="63"/>
      <c r="I42" s="63"/>
      <c r="J42" s="63"/>
      <c r="K42" s="63"/>
      <c r="L42" s="63"/>
    </row>
    <row r="43" spans="1:12">
      <c r="A43" s="74" t="s">
        <v>135</v>
      </c>
      <c r="B43" s="88"/>
      <c r="C43" s="89"/>
      <c r="D43" s="88">
        <v>5000</v>
      </c>
      <c r="E43" s="88"/>
      <c r="F43" s="90"/>
      <c r="G43" s="99"/>
      <c r="H43" s="63"/>
      <c r="I43" s="63"/>
      <c r="J43" s="63"/>
      <c r="K43" s="63"/>
      <c r="L43" s="63"/>
    </row>
    <row r="44" spans="1:12">
      <c r="A44" s="74" t="s">
        <v>79</v>
      </c>
      <c r="B44" s="88"/>
      <c r="C44" s="89"/>
      <c r="D44" s="88">
        <v>5000</v>
      </c>
      <c r="E44" s="88"/>
      <c r="F44" s="90"/>
      <c r="G44" s="99"/>
      <c r="H44" s="63"/>
      <c r="I44" s="63"/>
      <c r="J44" s="63"/>
      <c r="K44" s="63"/>
      <c r="L44" s="63"/>
    </row>
    <row r="45" spans="1:12">
      <c r="A45" s="74" t="s">
        <v>84</v>
      </c>
      <c r="B45" s="88"/>
      <c r="C45" s="89"/>
      <c r="D45" s="88"/>
      <c r="E45" s="88"/>
      <c r="F45" s="90"/>
      <c r="G45" s="99"/>
      <c r="H45" s="63"/>
      <c r="I45" s="63"/>
      <c r="J45" s="63"/>
      <c r="K45" s="63"/>
      <c r="L45" s="63"/>
    </row>
    <row r="46" spans="1:12">
      <c r="A46" s="74" t="s">
        <v>85</v>
      </c>
      <c r="B46" s="88"/>
      <c r="C46" s="89" t="s">
        <v>142</v>
      </c>
      <c r="D46" s="88"/>
      <c r="E46" s="88"/>
      <c r="F46" s="90"/>
      <c r="G46" s="99"/>
      <c r="H46" s="63"/>
      <c r="I46" s="63"/>
      <c r="J46" s="63"/>
      <c r="K46" s="63"/>
      <c r="L46" s="63"/>
    </row>
    <row r="47" spans="1:12">
      <c r="A47" s="74"/>
      <c r="B47" s="88"/>
      <c r="C47" s="89" t="s">
        <v>143</v>
      </c>
      <c r="D47" s="88"/>
      <c r="E47" s="88"/>
      <c r="F47" s="90"/>
      <c r="G47" s="99"/>
      <c r="H47" s="63"/>
      <c r="I47" s="63"/>
      <c r="J47" s="63"/>
      <c r="K47" s="63"/>
      <c r="L47" s="63"/>
    </row>
    <row r="48" spans="1:12" ht="24">
      <c r="A48" s="74"/>
      <c r="B48" s="88"/>
      <c r="C48" s="89" t="s">
        <v>144</v>
      </c>
      <c r="D48" s="88"/>
      <c r="E48" s="88"/>
      <c r="F48" s="90"/>
      <c r="G48" s="99"/>
      <c r="H48" s="63"/>
      <c r="I48" s="63"/>
      <c r="J48" s="63"/>
      <c r="K48" s="63"/>
      <c r="L48" s="63"/>
    </row>
    <row r="49" spans="1:12">
      <c r="A49" s="74"/>
      <c r="B49" s="88"/>
      <c r="C49" s="89" t="s">
        <v>145</v>
      </c>
      <c r="D49" s="88"/>
      <c r="E49" s="88"/>
      <c r="F49" s="90"/>
      <c r="G49" s="99"/>
      <c r="H49" s="63"/>
      <c r="I49" s="63"/>
      <c r="J49" s="63"/>
      <c r="K49" s="63"/>
      <c r="L49" s="63"/>
    </row>
    <row r="50" spans="1:12">
      <c r="A50" s="74"/>
      <c r="B50" s="88"/>
      <c r="C50" s="89" t="s">
        <v>146</v>
      </c>
      <c r="D50" s="88"/>
      <c r="E50" s="88"/>
      <c r="F50" s="90"/>
      <c r="G50" s="99"/>
      <c r="H50" s="63"/>
      <c r="I50" s="63"/>
      <c r="J50" s="63"/>
      <c r="K50" s="63"/>
      <c r="L50" s="63"/>
    </row>
    <row r="51" spans="1:12">
      <c r="A51" s="74"/>
      <c r="B51" s="88"/>
      <c r="C51" s="89" t="s">
        <v>147</v>
      </c>
      <c r="D51" s="88"/>
      <c r="E51" s="88"/>
      <c r="F51" s="90"/>
      <c r="G51" s="99"/>
      <c r="H51" s="63"/>
      <c r="I51" s="63"/>
      <c r="J51" s="63"/>
      <c r="K51" s="63"/>
      <c r="L51" s="63"/>
    </row>
    <row r="52" spans="1:12">
      <c r="A52" s="74"/>
      <c r="B52" s="88"/>
      <c r="C52" s="89" t="s">
        <v>148</v>
      </c>
      <c r="D52" s="88"/>
      <c r="E52" s="88"/>
      <c r="F52" s="90"/>
      <c r="G52" s="99"/>
      <c r="H52" s="63"/>
      <c r="I52" s="63"/>
      <c r="J52" s="63"/>
      <c r="K52" s="63"/>
      <c r="L52" s="63"/>
    </row>
    <row r="53" spans="1:12">
      <c r="A53" s="74"/>
      <c r="B53" s="88"/>
      <c r="C53" s="89" t="s">
        <v>149</v>
      </c>
      <c r="D53" s="88"/>
      <c r="E53" s="88"/>
      <c r="F53" s="90"/>
      <c r="G53" s="99"/>
      <c r="H53" s="63"/>
      <c r="I53" s="63"/>
      <c r="J53" s="63"/>
      <c r="K53" s="63"/>
      <c r="L53" s="63"/>
    </row>
    <row r="54" spans="1:12">
      <c r="A54" s="74"/>
      <c r="B54" s="88"/>
      <c r="C54" s="91" t="s">
        <v>150</v>
      </c>
      <c r="D54" s="88"/>
      <c r="E54" s="88"/>
      <c r="F54" s="90"/>
      <c r="G54" s="99"/>
      <c r="H54" s="63"/>
      <c r="I54" s="63"/>
      <c r="J54" s="63"/>
      <c r="K54" s="63"/>
      <c r="L54" s="63"/>
    </row>
    <row r="55" spans="1:12">
      <c r="C55" s="51" t="s">
        <v>151</v>
      </c>
    </row>
    <row r="56" spans="1:12">
      <c r="C56" s="51" t="s">
        <v>152</v>
      </c>
    </row>
    <row r="57" spans="1:12">
      <c r="C57" s="51" t="s">
        <v>153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0"/>
  <sheetViews>
    <sheetView tabSelected="1" workbookViewId="0">
      <selection activeCell="B1" sqref="A1:F20"/>
    </sheetView>
  </sheetViews>
  <sheetFormatPr baseColWidth="10" defaultRowHeight="15"/>
  <cols>
    <col min="1" max="1" width="30.42578125" bestFit="1" customWidth="1"/>
    <col min="2" max="2" width="13.42578125" style="100" bestFit="1" customWidth="1"/>
    <col min="3" max="3" width="17.5703125" style="51" bestFit="1" customWidth="1"/>
    <col min="4" max="5" width="17.42578125" style="51" bestFit="1" customWidth="1"/>
    <col min="6" max="6" width="13.5703125" style="51" bestFit="1" customWidth="1"/>
    <col min="7" max="7" width="6.28515625" customWidth="1"/>
    <col min="8" max="8" width="14" customWidth="1"/>
  </cols>
  <sheetData>
    <row r="1" spans="1:6">
      <c r="A1" s="126" t="s">
        <v>123</v>
      </c>
      <c r="B1" s="125" t="s">
        <v>206</v>
      </c>
      <c r="C1" s="125"/>
      <c r="D1" s="125"/>
      <c r="E1" s="125"/>
      <c r="F1" s="125"/>
    </row>
    <row r="2" spans="1:6">
      <c r="A2" s="126"/>
      <c r="B2" s="54" t="s">
        <v>124</v>
      </c>
      <c r="C2" s="54" t="s">
        <v>125</v>
      </c>
      <c r="D2" s="54" t="s">
        <v>126</v>
      </c>
      <c r="E2" s="54" t="s">
        <v>127</v>
      </c>
      <c r="F2" s="54" t="s">
        <v>128</v>
      </c>
    </row>
    <row r="3" spans="1:6">
      <c r="A3" s="124" t="s">
        <v>114</v>
      </c>
      <c r="B3" s="124"/>
      <c r="C3" s="124"/>
      <c r="D3" s="124"/>
      <c r="E3" s="124"/>
      <c r="F3" s="124"/>
    </row>
    <row r="4" spans="1:6">
      <c r="A4" t="s">
        <v>154</v>
      </c>
      <c r="B4" s="51" t="s">
        <v>250</v>
      </c>
      <c r="C4" s="51" t="s">
        <v>261</v>
      </c>
      <c r="D4" s="51" t="s">
        <v>258</v>
      </c>
      <c r="E4" s="51" t="s">
        <v>259</v>
      </c>
      <c r="F4" s="51" t="s">
        <v>260</v>
      </c>
    </row>
    <row r="5" spans="1:6">
      <c r="A5" t="s">
        <v>155</v>
      </c>
      <c r="B5" s="51" t="s">
        <v>251</v>
      </c>
      <c r="C5" s="51" t="s">
        <v>265</v>
      </c>
      <c r="D5" s="51" t="s">
        <v>262</v>
      </c>
      <c r="E5" s="51" t="s">
        <v>263</v>
      </c>
      <c r="F5" s="51" t="s">
        <v>264</v>
      </c>
    </row>
    <row r="6" spans="1:6">
      <c r="A6" t="s">
        <v>156</v>
      </c>
      <c r="B6" s="51" t="s">
        <v>252</v>
      </c>
      <c r="C6" s="51" t="s">
        <v>269</v>
      </c>
      <c r="D6" s="51" t="s">
        <v>266</v>
      </c>
      <c r="E6" s="51" t="s">
        <v>267</v>
      </c>
      <c r="F6" s="51" t="s">
        <v>268</v>
      </c>
    </row>
    <row r="7" spans="1:6">
      <c r="A7" t="s">
        <v>157</v>
      </c>
      <c r="B7" s="51" t="s">
        <v>253</v>
      </c>
      <c r="C7" s="51" t="s">
        <v>273</v>
      </c>
      <c r="D7" s="51" t="s">
        <v>270</v>
      </c>
      <c r="E7" s="51" t="s">
        <v>271</v>
      </c>
      <c r="F7" s="51" t="s">
        <v>272</v>
      </c>
    </row>
    <row r="8" spans="1:6">
      <c r="A8" s="124" t="s">
        <v>115</v>
      </c>
      <c r="B8" s="124"/>
      <c r="C8" s="124"/>
      <c r="D8" s="124"/>
      <c r="E8" s="124"/>
      <c r="F8" s="124"/>
    </row>
    <row r="9" spans="1:6">
      <c r="A9" t="s">
        <v>158</v>
      </c>
      <c r="B9" s="51" t="s">
        <v>181</v>
      </c>
      <c r="C9" s="51" t="s">
        <v>276</v>
      </c>
      <c r="D9" s="51" t="s">
        <v>274</v>
      </c>
      <c r="E9" s="51" t="s">
        <v>275</v>
      </c>
      <c r="F9" s="51" t="s">
        <v>207</v>
      </c>
    </row>
    <row r="10" spans="1:6">
      <c r="A10" t="s">
        <v>159</v>
      </c>
      <c r="B10" s="51" t="s">
        <v>255</v>
      </c>
      <c r="C10" s="51" t="s">
        <v>284</v>
      </c>
      <c r="D10" s="51" t="s">
        <v>281</v>
      </c>
      <c r="E10" s="51" t="s">
        <v>282</v>
      </c>
      <c r="F10" s="51" t="s">
        <v>283</v>
      </c>
    </row>
    <row r="11" spans="1:6">
      <c r="A11" t="s">
        <v>160</v>
      </c>
      <c r="B11" s="51" t="s">
        <v>254</v>
      </c>
      <c r="C11" s="51" t="s">
        <v>280</v>
      </c>
      <c r="D11" s="51" t="s">
        <v>277</v>
      </c>
      <c r="E11" s="51" t="s">
        <v>278</v>
      </c>
      <c r="F11" s="51" t="s">
        <v>279</v>
      </c>
    </row>
    <row r="12" spans="1:6">
      <c r="A12" t="s">
        <v>161</v>
      </c>
      <c r="B12" s="51" t="s">
        <v>256</v>
      </c>
      <c r="C12" s="51" t="s">
        <v>288</v>
      </c>
      <c r="D12" s="51" t="s">
        <v>285</v>
      </c>
      <c r="E12" s="51" t="s">
        <v>286</v>
      </c>
      <c r="F12" s="51" t="s">
        <v>287</v>
      </c>
    </row>
    <row r="13" spans="1:6">
      <c r="A13" s="124" t="s">
        <v>116</v>
      </c>
      <c r="B13" s="124"/>
      <c r="C13" s="124"/>
      <c r="D13" s="124"/>
      <c r="E13" s="124"/>
      <c r="F13" s="124"/>
    </row>
    <row r="14" spans="1:6">
      <c r="A14" t="s">
        <v>210</v>
      </c>
      <c r="B14" s="51" t="s">
        <v>208</v>
      </c>
      <c r="C14" s="51" t="s">
        <v>117</v>
      </c>
      <c r="D14" s="51" t="s">
        <v>289</v>
      </c>
      <c r="E14" s="51" t="s">
        <v>290</v>
      </c>
      <c r="F14" s="51" t="s">
        <v>117</v>
      </c>
    </row>
    <row r="15" spans="1:6">
      <c r="A15" t="s">
        <v>212</v>
      </c>
      <c r="B15" s="51" t="s">
        <v>257</v>
      </c>
      <c r="C15" s="51" t="s">
        <v>117</v>
      </c>
      <c r="D15" s="51" t="s">
        <v>291</v>
      </c>
      <c r="E15" s="51" t="s">
        <v>292</v>
      </c>
      <c r="F15" s="51" t="s">
        <v>293</v>
      </c>
    </row>
    <row r="16" spans="1:6">
      <c r="A16" t="s">
        <v>211</v>
      </c>
      <c r="B16" s="51" t="s">
        <v>117</v>
      </c>
      <c r="C16" s="51" t="s">
        <v>294</v>
      </c>
      <c r="D16" s="51" t="s">
        <v>299</v>
      </c>
      <c r="E16" s="51" t="s">
        <v>299</v>
      </c>
      <c r="F16" s="51" t="s">
        <v>209</v>
      </c>
    </row>
    <row r="17" spans="1:6">
      <c r="A17" t="s">
        <v>213</v>
      </c>
      <c r="B17" s="51" t="s">
        <v>117</v>
      </c>
      <c r="C17" s="51" t="s">
        <v>298</v>
      </c>
      <c r="D17" s="51" t="s">
        <v>295</v>
      </c>
      <c r="E17" s="51" t="s">
        <v>296</v>
      </c>
      <c r="F17" s="51" t="s">
        <v>297</v>
      </c>
    </row>
    <row r="18" spans="1:6">
      <c r="A18" s="124" t="s">
        <v>129</v>
      </c>
      <c r="B18" s="124"/>
      <c r="C18" s="124"/>
      <c r="D18" s="124"/>
      <c r="E18" s="124"/>
      <c r="F18" s="124"/>
    </row>
    <row r="19" spans="1:6">
      <c r="A19" t="s">
        <v>162</v>
      </c>
      <c r="B19" s="51">
        <v>943.44</v>
      </c>
      <c r="C19" s="51">
        <v>983.9</v>
      </c>
      <c r="D19" s="51">
        <v>955.49</v>
      </c>
      <c r="E19" s="51" t="s">
        <v>300</v>
      </c>
      <c r="F19" s="51">
        <v>977.8</v>
      </c>
    </row>
    <row r="20" spans="1:6">
      <c r="A20" t="s">
        <v>202</v>
      </c>
      <c r="B20" s="51">
        <v>985.54</v>
      </c>
      <c r="C20" s="51">
        <v>1026</v>
      </c>
      <c r="D20" s="51">
        <v>1008.1</v>
      </c>
      <c r="E20" s="51" t="s">
        <v>301</v>
      </c>
      <c r="F20" s="51">
        <v>1025.1600000000001</v>
      </c>
    </row>
  </sheetData>
  <mergeCells count="6">
    <mergeCell ref="A18:F18"/>
    <mergeCell ref="B1:F1"/>
    <mergeCell ref="A3:F3"/>
    <mergeCell ref="A1:A2"/>
    <mergeCell ref="A8:F8"/>
    <mergeCell ref="A13:F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NOBS1</vt:lpstr>
      <vt:lpstr>nobs_1</vt:lpstr>
      <vt:lpstr>NOBS2</vt:lpstr>
      <vt:lpstr>nobs_2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Parra G.</dc:creator>
  <cp:lastModifiedBy>Daniel S. Parra G.</cp:lastModifiedBy>
  <dcterms:created xsi:type="dcterms:W3CDTF">2020-07-27T18:49:12Z</dcterms:created>
  <dcterms:modified xsi:type="dcterms:W3CDTF">2021-04-12T16:49:18Z</dcterms:modified>
</cp:coreProperties>
</file>